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hidePivotFieldList="1"/>
  <mc:AlternateContent xmlns:mc="http://schemas.openxmlformats.org/markup-compatibility/2006">
    <mc:Choice Requires="x15">
      <x15ac:absPath xmlns:x15ac="http://schemas.microsoft.com/office/spreadsheetml/2010/11/ac" url="C:\Users\cgc\Documents\SHVANSHU TIWARI\"/>
    </mc:Choice>
  </mc:AlternateContent>
  <bookViews>
    <workbookView xWindow="0" yWindow="0" windowWidth="24000" windowHeight="9735" activeTab="5"/>
  </bookViews>
  <sheets>
    <sheet name="party perfomance" sheetId="6" r:id="rId1"/>
    <sheet name="region-wise result" sheetId="7" r:id="rId2"/>
    <sheet name="Distric-wise anylises" sheetId="8" r:id="rId3"/>
    <sheet name="gender Analysis" sheetId="9" r:id="rId4"/>
    <sheet name="Margin Analysies" sheetId="10" r:id="rId5"/>
    <sheet name="Sheet11" sheetId="11" r:id="rId6"/>
    <sheet name="Sheet1" sheetId="1" r:id="rId7"/>
  </sheets>
  <definedNames>
    <definedName name="_xlnm._FilterDatabase" localSheetId="6" hidden="1">Sheet1!$E$1:$E$118</definedName>
    <definedName name="Slicer_District">#N/A</definedName>
    <definedName name="Slicer_Party">#N/A</definedName>
    <definedName name="Slicer_Region">#N/A</definedName>
  </definedNames>
  <calcPr calcId="152511"/>
  <pivotCaches>
    <pivotCache cacheId="28"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Y3" i="1" l="1"/>
  <c r="Y4" i="1"/>
  <c r="Y5" i="1"/>
  <c r="Y6" i="1"/>
  <c r="Y7" i="1"/>
  <c r="Y8" i="1"/>
  <c r="Y9" i="1"/>
  <c r="Y10" i="1"/>
  <c r="Y11" i="1"/>
  <c r="Y12" i="1"/>
  <c r="Y13" i="1"/>
  <c r="Y14" i="1"/>
  <c r="Y15" i="1"/>
  <c r="Y16" i="1"/>
  <c r="Y17" i="1"/>
  <c r="Y18" i="1"/>
  <c r="Y19" i="1"/>
  <c r="Y20" i="1"/>
  <c r="Y21" i="1"/>
  <c r="Y22" i="1"/>
  <c r="Y23" i="1"/>
  <c r="Y24" i="1"/>
  <c r="Y25" i="1"/>
  <c r="Y26" i="1"/>
  <c r="Y27" i="1"/>
  <c r="Y28" i="1"/>
  <c r="Y29" i="1"/>
  <c r="Y30" i="1"/>
  <c r="Y31" i="1"/>
  <c r="Y32" i="1"/>
  <c r="Y33" i="1"/>
  <c r="Y34" i="1"/>
  <c r="Y35" i="1"/>
  <c r="Y36" i="1"/>
  <c r="Y37" i="1"/>
  <c r="Y38" i="1"/>
  <c r="Y39" i="1"/>
  <c r="Y40" i="1"/>
  <c r="Y41" i="1"/>
  <c r="Y42" i="1"/>
  <c r="Y43" i="1"/>
  <c r="Y44" i="1"/>
  <c r="Y45" i="1"/>
  <c r="Y46" i="1"/>
  <c r="Y47" i="1"/>
  <c r="Y48" i="1"/>
  <c r="Y49" i="1"/>
  <c r="Y50" i="1"/>
  <c r="Y51" i="1"/>
  <c r="Y52" i="1"/>
  <c r="Y53" i="1"/>
  <c r="Y54" i="1"/>
  <c r="Y55" i="1"/>
  <c r="Y56" i="1"/>
  <c r="Y57" i="1"/>
  <c r="Y58" i="1"/>
  <c r="Y59" i="1"/>
  <c r="Y60" i="1"/>
  <c r="Y61" i="1"/>
  <c r="Y62" i="1"/>
  <c r="Y63" i="1"/>
  <c r="Y64" i="1"/>
  <c r="Y65" i="1"/>
  <c r="Y66" i="1"/>
  <c r="Y67" i="1"/>
  <c r="Y68" i="1"/>
  <c r="Y69" i="1"/>
  <c r="Y70" i="1"/>
  <c r="Y71" i="1"/>
  <c r="Y72" i="1"/>
  <c r="Y73" i="1"/>
  <c r="Y74" i="1"/>
  <c r="Y75" i="1"/>
  <c r="Y76" i="1"/>
  <c r="Y77" i="1"/>
  <c r="Y78" i="1"/>
  <c r="Y79" i="1"/>
  <c r="Y80" i="1"/>
  <c r="Y81" i="1"/>
  <c r="Y82" i="1"/>
  <c r="Y83" i="1"/>
  <c r="Y84" i="1"/>
  <c r="Y85" i="1"/>
  <c r="Y86" i="1"/>
  <c r="Y87" i="1"/>
  <c r="Y88" i="1"/>
  <c r="Y89" i="1"/>
  <c r="Y90" i="1"/>
  <c r="Y91" i="1"/>
  <c r="Y92" i="1"/>
  <c r="Y93" i="1"/>
  <c r="Y94" i="1"/>
  <c r="Y95" i="1"/>
  <c r="Y96" i="1"/>
  <c r="Y97" i="1"/>
  <c r="Y98" i="1"/>
  <c r="Y99" i="1"/>
  <c r="Y100" i="1"/>
  <c r="Y101" i="1"/>
  <c r="Y102" i="1"/>
  <c r="Y103" i="1"/>
  <c r="Y104" i="1"/>
  <c r="Y105" i="1"/>
  <c r="Y106" i="1"/>
  <c r="Y107" i="1"/>
  <c r="Y108" i="1"/>
  <c r="Y109" i="1"/>
  <c r="Y110" i="1"/>
  <c r="Y111" i="1"/>
  <c r="Y112" i="1"/>
  <c r="Y113" i="1"/>
  <c r="Y114" i="1"/>
  <c r="Y115" i="1"/>
  <c r="Y116" i="1"/>
  <c r="Y117" i="1"/>
  <c r="Y118" i="1"/>
  <c r="Y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2" i="1"/>
  <c r="R2" i="1" l="1"/>
  <c r="R19" i="1"/>
  <c r="R20" i="1"/>
  <c r="R21" i="1"/>
  <c r="R22" i="1"/>
  <c r="R23" i="1"/>
  <c r="R24" i="1"/>
  <c r="R25" i="1"/>
  <c r="R3" i="1"/>
  <c r="R26" i="1"/>
  <c r="R27" i="1"/>
  <c r="R28" i="1"/>
  <c r="R29" i="1"/>
  <c r="R4" i="1"/>
  <c r="R30" i="1"/>
  <c r="R31" i="1"/>
  <c r="R32" i="1"/>
  <c r="R33" i="1"/>
  <c r="R34" i="1"/>
  <c r="R35" i="1"/>
  <c r="R36" i="1"/>
  <c r="R37" i="1"/>
  <c r="R38" i="1"/>
  <c r="R39" i="1"/>
  <c r="R40" i="1"/>
  <c r="R41" i="1"/>
  <c r="R5" i="1"/>
  <c r="R42" i="1"/>
  <c r="R43" i="1"/>
  <c r="R44" i="1"/>
  <c r="R45" i="1"/>
  <c r="R46" i="1"/>
  <c r="R47" i="1"/>
  <c r="R48" i="1"/>
  <c r="R49" i="1"/>
  <c r="R50" i="1"/>
  <c r="R51" i="1"/>
  <c r="R52" i="1"/>
  <c r="R53" i="1"/>
  <c r="R54" i="1"/>
  <c r="R55" i="1"/>
  <c r="R56" i="1"/>
  <c r="R57" i="1"/>
  <c r="R6" i="1"/>
  <c r="R58" i="1"/>
  <c r="R59" i="1"/>
  <c r="R60" i="1"/>
  <c r="R7" i="1"/>
  <c r="R61" i="1"/>
  <c r="R62" i="1"/>
  <c r="R63" i="1"/>
  <c r="R64" i="1"/>
  <c r="R65" i="1"/>
  <c r="R66" i="1"/>
  <c r="R67" i="1"/>
  <c r="R68" i="1"/>
  <c r="R8" i="1"/>
  <c r="R69" i="1"/>
  <c r="R70" i="1"/>
  <c r="R71" i="1"/>
  <c r="R72" i="1"/>
  <c r="R73" i="1"/>
  <c r="R74" i="1"/>
  <c r="R75" i="1"/>
  <c r="R76" i="1"/>
  <c r="R9" i="1"/>
  <c r="R77" i="1"/>
  <c r="R78" i="1"/>
  <c r="R10" i="1"/>
  <c r="R79" i="1"/>
  <c r="R80" i="1"/>
  <c r="R81" i="1"/>
  <c r="R82" i="1"/>
  <c r="R83" i="1"/>
  <c r="R84" i="1"/>
  <c r="R85" i="1"/>
  <c r="R86" i="1"/>
  <c r="R87" i="1"/>
  <c r="R88" i="1"/>
  <c r="R89" i="1"/>
  <c r="R11" i="1"/>
  <c r="R90" i="1"/>
  <c r="R91" i="1"/>
  <c r="R92" i="1"/>
  <c r="R93" i="1"/>
  <c r="R94" i="1"/>
  <c r="R95" i="1"/>
  <c r="R96" i="1"/>
  <c r="R97" i="1"/>
  <c r="R12" i="1"/>
  <c r="R98" i="1"/>
  <c r="R99" i="1"/>
  <c r="R100" i="1"/>
  <c r="R101" i="1"/>
  <c r="R102" i="1"/>
  <c r="R103" i="1"/>
  <c r="R104" i="1"/>
  <c r="R105" i="1"/>
  <c r="R106" i="1"/>
  <c r="R107" i="1"/>
  <c r="R108" i="1"/>
  <c r="R109" i="1"/>
  <c r="R110" i="1"/>
  <c r="R13" i="1"/>
  <c r="R111" i="1"/>
  <c r="R112" i="1"/>
  <c r="R14" i="1"/>
  <c r="R113" i="1"/>
  <c r="R114" i="1"/>
  <c r="R115" i="1"/>
  <c r="R116" i="1"/>
  <c r="R117" i="1"/>
  <c r="R118" i="1"/>
  <c r="R16" i="1"/>
  <c r="R17" i="1"/>
  <c r="R18" i="1"/>
  <c r="R15" i="1"/>
</calcChain>
</file>

<file path=xl/sharedStrings.xml><?xml version="1.0" encoding="utf-8"?>
<sst xmlns="http://schemas.openxmlformats.org/spreadsheetml/2006/main" count="1295" uniqueCount="407">
  <si>
    <t>Constituency</t>
  </si>
  <si>
    <t>District</t>
  </si>
  <si>
    <t>Region</t>
  </si>
  <si>
    <t>Winner</t>
  </si>
  <si>
    <t>Party</t>
  </si>
  <si>
    <t>Age</t>
  </si>
  <si>
    <t>Sex</t>
  </si>
  <si>
    <t>Category</t>
  </si>
  <si>
    <t>Total Voters</t>
  </si>
  <si>
    <t>Sujanpur</t>
  </si>
  <si>
    <t>NARESH PURI</t>
  </si>
  <si>
    <t>Bhoa</t>
  </si>
  <si>
    <t>LAL CHAND</t>
  </si>
  <si>
    <t>Pathankot</t>
  </si>
  <si>
    <t>ASHWANI KUMAR SHARMA</t>
  </si>
  <si>
    <t>Gurdaspur</t>
  </si>
  <si>
    <t>BARINDERMEET SINGH PAHRA</t>
  </si>
  <si>
    <t>Dina Nagar</t>
  </si>
  <si>
    <t>ARUNA CHAUDHARY</t>
  </si>
  <si>
    <t>Qadian</t>
  </si>
  <si>
    <t>PARTAP SINGH BAJWA</t>
  </si>
  <si>
    <t>Batala</t>
  </si>
  <si>
    <t>AMANSHER SINGH (SHERY KALSI)</t>
  </si>
  <si>
    <t>Sri Hargobindpur</t>
  </si>
  <si>
    <t>AMARPAL SINGH</t>
  </si>
  <si>
    <t>Fatehgarh Churian</t>
  </si>
  <si>
    <t>TRIPT RAJINDER SINGH BAJWA</t>
  </si>
  <si>
    <t>Dera Baba Nanak</t>
  </si>
  <si>
    <t>SUKHJINDER SINGH RANDHAWA</t>
  </si>
  <si>
    <t>Ajnala</t>
  </si>
  <si>
    <t>KULDEEP SINGH DHALIWAL</t>
  </si>
  <si>
    <t>Raja Sansi</t>
  </si>
  <si>
    <t>SUKHBINDER SINGH SARKARIA</t>
  </si>
  <si>
    <t>Majitha</t>
  </si>
  <si>
    <t>Ganieve Kaur Majithia</t>
  </si>
  <si>
    <t>Jandiala</t>
  </si>
  <si>
    <t>HARBHAJAN SINGH E.T.O.</t>
  </si>
  <si>
    <t>Amritsar North</t>
  </si>
  <si>
    <t>KUNWAR VIJAY PRATAP SINGH</t>
  </si>
  <si>
    <t>Amritsar West</t>
  </si>
  <si>
    <t>DR. JASBIR SINGH SANDHU</t>
  </si>
  <si>
    <t>Amritsar Central</t>
  </si>
  <si>
    <t>AJAY GUPTA</t>
  </si>
  <si>
    <t>Amritsar East</t>
  </si>
  <si>
    <t>JEEVAN JYOT KAUR</t>
  </si>
  <si>
    <t>Amritsar South</t>
  </si>
  <si>
    <t>INDERBIR SINGH NIJJAR</t>
  </si>
  <si>
    <t>Attari</t>
  </si>
  <si>
    <t>JASWINDER SINGH</t>
  </si>
  <si>
    <t>Tarn Taran</t>
  </si>
  <si>
    <t>Dr. Kashmir Singh Sohal</t>
  </si>
  <si>
    <t>Khem Karan</t>
  </si>
  <si>
    <t>SARVAN SINGH DHUN</t>
  </si>
  <si>
    <t>Patti</t>
  </si>
  <si>
    <t>Laljit Singh Bhullar</t>
  </si>
  <si>
    <t>Khadoor Sahib</t>
  </si>
  <si>
    <t>MANJINDER SINGH LALPURA</t>
  </si>
  <si>
    <t>Baba Bakala</t>
  </si>
  <si>
    <t>DALBIR SINGH TONG</t>
  </si>
  <si>
    <t>Bholath</t>
  </si>
  <si>
    <t>SUKHPAL SINGH KHAIRA</t>
  </si>
  <si>
    <t>Kapurthala</t>
  </si>
  <si>
    <t>Rana Gurjeet Singh</t>
  </si>
  <si>
    <t>Sultanpur Lodhi</t>
  </si>
  <si>
    <t>RANA INDER PARTAP SINGH</t>
  </si>
  <si>
    <t>Phagwara</t>
  </si>
  <si>
    <t>Balwinder Singh Dhaliwal</t>
  </si>
  <si>
    <t>Phillaur</t>
  </si>
  <si>
    <t>Vikramjit Singh Chaudhary</t>
  </si>
  <si>
    <t>Nakodar</t>
  </si>
  <si>
    <t>Inderjit Kaur Mann</t>
  </si>
  <si>
    <t>Shahkot</t>
  </si>
  <si>
    <t>Hardev Singh Laddi</t>
  </si>
  <si>
    <t>Kartarpur</t>
  </si>
  <si>
    <t>BALKAR SINGH</t>
  </si>
  <si>
    <t>Jalandhar West</t>
  </si>
  <si>
    <t>SHEETAL ANGURAL</t>
  </si>
  <si>
    <t>Jalandhar Central</t>
  </si>
  <si>
    <t>RAMAN ARORA</t>
  </si>
  <si>
    <t>Jalandhar North</t>
  </si>
  <si>
    <t>Avtar Singh Junior</t>
  </si>
  <si>
    <t>Jalandhar Cantt.</t>
  </si>
  <si>
    <t>PARGAT SINGH POWAR</t>
  </si>
  <si>
    <t>Adampur</t>
  </si>
  <si>
    <t>SUKHWINDER SINGH KOTLI</t>
  </si>
  <si>
    <t>Mukerian</t>
  </si>
  <si>
    <t>JANGI LAL MAHAJAN</t>
  </si>
  <si>
    <t>Dasuya</t>
  </si>
  <si>
    <t>KARAMBIR SINGH</t>
  </si>
  <si>
    <t>Urmar</t>
  </si>
  <si>
    <t>Jasvir Singh Raja Gill</t>
  </si>
  <si>
    <t>Sham Chaurasi</t>
  </si>
  <si>
    <t>DR.RAVJOT SINGH</t>
  </si>
  <si>
    <t>Hoshiarpur</t>
  </si>
  <si>
    <t>BRAM SHANKER (JIMPA)</t>
  </si>
  <si>
    <t>Chabbewal</t>
  </si>
  <si>
    <t>DR. RAJ KUMAR</t>
  </si>
  <si>
    <t>Garhshankar</t>
  </si>
  <si>
    <t>JAI KRISHAN</t>
  </si>
  <si>
    <t>Banga</t>
  </si>
  <si>
    <t>SUKHWINDER KUMAR SUKHI DR.</t>
  </si>
  <si>
    <t>Nawan Shahr</t>
  </si>
  <si>
    <t>DR. NACHHATAR PAL</t>
  </si>
  <si>
    <t>Balachaur</t>
  </si>
  <si>
    <t>SANTOSH KUMARI KATARIAA</t>
  </si>
  <si>
    <t>Anandpur Sahib</t>
  </si>
  <si>
    <t>HARJOT SINGH BAINS</t>
  </si>
  <si>
    <t>Rupnagar</t>
  </si>
  <si>
    <t>DINESH KUMAR CHADHA</t>
  </si>
  <si>
    <t>Chamkaur Sahib</t>
  </si>
  <si>
    <t>CHARANJIT SINGH</t>
  </si>
  <si>
    <t>Kharar</t>
  </si>
  <si>
    <t>Anmol Gagan Maan</t>
  </si>
  <si>
    <t>S.A.S. Nagar</t>
  </si>
  <si>
    <t>KULWANT SINGH</t>
  </si>
  <si>
    <t>Bassi Pathana</t>
  </si>
  <si>
    <t>RUPINDER SINGH</t>
  </si>
  <si>
    <t>Fatehgarh Sahib</t>
  </si>
  <si>
    <t>Lakhbir Singh Rai</t>
  </si>
  <si>
    <t>Amloh</t>
  </si>
  <si>
    <t>Gurinder Singh Garry Birring</t>
  </si>
  <si>
    <t>Khanna</t>
  </si>
  <si>
    <t>TARUNPREET SINGH SOND</t>
  </si>
  <si>
    <t>Samrala</t>
  </si>
  <si>
    <t>JAGTAR SINGH DIYALPURA</t>
  </si>
  <si>
    <t>Sahnewal</t>
  </si>
  <si>
    <t>HARDEEP SINGH MUNDIAN</t>
  </si>
  <si>
    <t>Ludhiana East</t>
  </si>
  <si>
    <t>DALJIT SINGH GREWAL (BHOLA)</t>
  </si>
  <si>
    <t>Ludhiana South</t>
  </si>
  <si>
    <t>RAJINDER PAL KAUR</t>
  </si>
  <si>
    <t>Atam Nagar</t>
  </si>
  <si>
    <t>KULWANT SINGH SIDHU</t>
  </si>
  <si>
    <t>Ludhiana Central</t>
  </si>
  <si>
    <t>Ashok Parashar (Pappi)</t>
  </si>
  <si>
    <t>Ludhiana West</t>
  </si>
  <si>
    <t>GURPREET BASSI GOGI</t>
  </si>
  <si>
    <t>Ludhiana North</t>
  </si>
  <si>
    <t>MADAN LAL BAGGA</t>
  </si>
  <si>
    <t>Gill</t>
  </si>
  <si>
    <t>Jiwan Singh Sangowal</t>
  </si>
  <si>
    <t>Payal</t>
  </si>
  <si>
    <t>MANWINDER SINGH GIASPURA</t>
  </si>
  <si>
    <t>Dakha</t>
  </si>
  <si>
    <t>MANPREET SINGH AYALI</t>
  </si>
  <si>
    <t>Raikot</t>
  </si>
  <si>
    <t>HAKAM SINGH THEKEDAR</t>
  </si>
  <si>
    <t>Jagraon</t>
  </si>
  <si>
    <t>SARVJIT KAUR MANUKE</t>
  </si>
  <si>
    <t>Nihal Singhwala</t>
  </si>
  <si>
    <t>MANJIT SINGH BILASPUR</t>
  </si>
  <si>
    <t>Bhagha Purana</t>
  </si>
  <si>
    <t>AMRITPAL SINGH SUKHANAND</t>
  </si>
  <si>
    <t>Moga</t>
  </si>
  <si>
    <t>DR. AMANDEEP KAUR ARORA</t>
  </si>
  <si>
    <t>Dharamkot</t>
  </si>
  <si>
    <t>DEVINDERJEET SINGH LADDI DHOSE</t>
  </si>
  <si>
    <t>Zira</t>
  </si>
  <si>
    <t>Naresh Kataria</t>
  </si>
  <si>
    <t>Firozpur City</t>
  </si>
  <si>
    <t>RANBIR SINGH</t>
  </si>
  <si>
    <t>Firozpur Rural</t>
  </si>
  <si>
    <t>RAJNEESH KUMAR DAHIYA</t>
  </si>
  <si>
    <t>Guru Har Sahai</t>
  </si>
  <si>
    <t>FAUJA SINGH</t>
  </si>
  <si>
    <t>Jalalabad</t>
  </si>
  <si>
    <t>JAGDEEP KAMBOJ</t>
  </si>
  <si>
    <t>Fazilka</t>
  </si>
  <si>
    <t>NARINDER PAL SINGH SAWNA</t>
  </si>
  <si>
    <t>Abohar</t>
  </si>
  <si>
    <t>SANDEEP JAKHAR</t>
  </si>
  <si>
    <t>Balluana</t>
  </si>
  <si>
    <t>AMANDEEP SINGH MUSAFIR</t>
  </si>
  <si>
    <t>Lambi</t>
  </si>
  <si>
    <t>GURMEET SINGH KHUDIAN</t>
  </si>
  <si>
    <t>Gidderbaha</t>
  </si>
  <si>
    <t>Amrinder Singh Raja Warring</t>
  </si>
  <si>
    <t>Malout</t>
  </si>
  <si>
    <t>Dr. Baljit Kaur</t>
  </si>
  <si>
    <t>Muktsar</t>
  </si>
  <si>
    <t>JAGDEEP SINGH 'KAKA BRAR'</t>
  </si>
  <si>
    <t>Faridkot</t>
  </si>
  <si>
    <t>GURDIT SINGH SEKHON</t>
  </si>
  <si>
    <t>Kotkapura</t>
  </si>
  <si>
    <t>KULTAR SINGH SANDHWAN</t>
  </si>
  <si>
    <t>Jaitu</t>
  </si>
  <si>
    <t>AMOLAK SINGH</t>
  </si>
  <si>
    <t>Rampura Phul</t>
  </si>
  <si>
    <t>Balkar Singh Sidhu</t>
  </si>
  <si>
    <t>Bhucho Mandi</t>
  </si>
  <si>
    <t>JAGSIR SINGH</t>
  </si>
  <si>
    <t>Bathinda Urban</t>
  </si>
  <si>
    <t>Jagroop Singh Gill</t>
  </si>
  <si>
    <t>Bathinda Rural</t>
  </si>
  <si>
    <t>AMIT RATTAN KOTFATTA</t>
  </si>
  <si>
    <t>Talwandi Sabo</t>
  </si>
  <si>
    <t>Prof. Baljinder Kaur</t>
  </si>
  <si>
    <t>Maur</t>
  </si>
  <si>
    <t>SUKHVEER SINGH MAISERKHANA</t>
  </si>
  <si>
    <t>Mansa</t>
  </si>
  <si>
    <t>Dr.Vijay Singla</t>
  </si>
  <si>
    <t>Sardulgarh</t>
  </si>
  <si>
    <t>Gurpreet Singh Banawali</t>
  </si>
  <si>
    <t>Budhlada</t>
  </si>
  <si>
    <t>BUDH RAM</t>
  </si>
  <si>
    <t>Lehra</t>
  </si>
  <si>
    <t>Barinder Kumar Goyal Vakeel</t>
  </si>
  <si>
    <t>Dirba</t>
  </si>
  <si>
    <t>Harpal Singh Cheema</t>
  </si>
  <si>
    <t>Sunam</t>
  </si>
  <si>
    <t>AMAN ARORA</t>
  </si>
  <si>
    <t>Bhadaur</t>
  </si>
  <si>
    <t>LABH SINGH UGOKE</t>
  </si>
  <si>
    <t>Barnala</t>
  </si>
  <si>
    <t>GURMEET SINGH MEET HAYER</t>
  </si>
  <si>
    <t>Mehal Kalan</t>
  </si>
  <si>
    <t>Kulwant Singh Pandori</t>
  </si>
  <si>
    <t>Malerkotla</t>
  </si>
  <si>
    <t>MOHAMMAD JAMIL UR RAHMAN</t>
  </si>
  <si>
    <t>Amargarh</t>
  </si>
  <si>
    <t>PROF. JASWANT SINGH GAJJAN MAJRA</t>
  </si>
  <si>
    <t>Dhuri</t>
  </si>
  <si>
    <t>BHAGWANT MANN</t>
  </si>
  <si>
    <t>Sangrur</t>
  </si>
  <si>
    <t>Narinder Kaur Bharaj</t>
  </si>
  <si>
    <t>Nabha</t>
  </si>
  <si>
    <t>GURDEV SINGH DEV MAAN</t>
  </si>
  <si>
    <t>Patiala Rural</t>
  </si>
  <si>
    <t>Dr.Balbir Singh</t>
  </si>
  <si>
    <t>Rajpura</t>
  </si>
  <si>
    <t>Neena Mittal</t>
  </si>
  <si>
    <t>Dera Bassi</t>
  </si>
  <si>
    <t>KULJIT SINGH RANDHAWA</t>
  </si>
  <si>
    <t>Ghanaur</t>
  </si>
  <si>
    <t>GURLAL GHANAUR</t>
  </si>
  <si>
    <t>Sanour</t>
  </si>
  <si>
    <t>HARMIT SINGH PATHANMAJRA</t>
  </si>
  <si>
    <t>Patiala</t>
  </si>
  <si>
    <t>Ajit Pal Singh Kohli</t>
  </si>
  <si>
    <t>Samana</t>
  </si>
  <si>
    <t>CHETAN SINGH JOURAMAJRA</t>
  </si>
  <si>
    <t>Shutrana</t>
  </si>
  <si>
    <t>Kulwant Singh Bazigar</t>
  </si>
  <si>
    <t>M</t>
  </si>
  <si>
    <t>F</t>
  </si>
  <si>
    <t>INC</t>
  </si>
  <si>
    <t>AAAP</t>
  </si>
  <si>
    <t>BJP</t>
  </si>
  <si>
    <t>SAD</t>
  </si>
  <si>
    <t>IND</t>
  </si>
  <si>
    <t>BSP</t>
  </si>
  <si>
    <t>Amritsar</t>
  </si>
  <si>
    <t>Taran Taran</t>
  </si>
  <si>
    <t>Jalandhar</t>
  </si>
  <si>
    <t>S.B.S. Nagar</t>
  </si>
  <si>
    <t>Ludhiana</t>
  </si>
  <si>
    <t>Ferozpur</t>
  </si>
  <si>
    <t>Sri Muktsar Sahib</t>
  </si>
  <si>
    <t>Bathinda</t>
  </si>
  <si>
    <t>C.No.</t>
  </si>
  <si>
    <t>Malwa</t>
  </si>
  <si>
    <t>Majha</t>
  </si>
  <si>
    <t>Doaba</t>
  </si>
  <si>
    <t>GENERAL</t>
  </si>
  <si>
    <t>SC</t>
  </si>
  <si>
    <t>Total Polled Votes</t>
  </si>
  <si>
    <t xml:space="preserve">General Votes(W) </t>
  </si>
  <si>
    <t>Postal Votes(W)</t>
  </si>
  <si>
    <t>Total Votes Received(W)</t>
  </si>
  <si>
    <t>Runner Up</t>
  </si>
  <si>
    <t>Party(R)</t>
  </si>
  <si>
    <t>Votes Received(R)</t>
  </si>
  <si>
    <t>DINESH SINGH (BABBU)</t>
  </si>
  <si>
    <t>JOGINDER PAL</t>
  </si>
  <si>
    <t>AMIT VIJ</t>
  </si>
  <si>
    <t>GURBACHAN SINGH BABEHALI</t>
  </si>
  <si>
    <t>SHAMSHER SINGH</t>
  </si>
  <si>
    <t>GURIQBAL SINGH MAHAL</t>
  </si>
  <si>
    <t>ASHWANI SEKHRI</t>
  </si>
  <si>
    <t>RAJANBIR SINGH</t>
  </si>
  <si>
    <t>LAKHBIR SINGH LODHINANGAL</t>
  </si>
  <si>
    <t>RAVIKARAN SINGH KAHLON</t>
  </si>
  <si>
    <t>AMARPAL SINGH BONNY AJNALA</t>
  </si>
  <si>
    <t>VIR SINGH LOPOKE</t>
  </si>
  <si>
    <t>Sukhjinder Raj Singh (Lalli)</t>
  </si>
  <si>
    <t>SUKHWINDER SINGH "DANNY" BANDALA</t>
  </si>
  <si>
    <t>ANIL JOSHI</t>
  </si>
  <si>
    <t>RAJ KUMAR VERKA</t>
  </si>
  <si>
    <t>OM PARKASH SONI</t>
  </si>
  <si>
    <t>NAVJOT SINGH SIDHU</t>
  </si>
  <si>
    <t>TALBIR SINGH GILL</t>
  </si>
  <si>
    <t>GULZAR SINGH RANIKE</t>
  </si>
  <si>
    <t>Harmeet Singh Sandhu</t>
  </si>
  <si>
    <t>Virsa Singh Valtoha</t>
  </si>
  <si>
    <t>Adaish Partap Singh Kairon</t>
  </si>
  <si>
    <t>RAMANJEET SINGH SAHOTA SIKKI</t>
  </si>
  <si>
    <t>SANTOKH SINGH BHALAIPUR</t>
  </si>
  <si>
    <t>BIBI JAGIR KAUR</t>
  </si>
  <si>
    <t>Manju Rana</t>
  </si>
  <si>
    <t>SAJJAN SINGH CHEEMA</t>
  </si>
  <si>
    <t>Joginder Singh Mann</t>
  </si>
  <si>
    <t>Baldev Singh Khaira</t>
  </si>
  <si>
    <t>Gurpartap Singh Wadala</t>
  </si>
  <si>
    <t>Bachitar Singh Kohar</t>
  </si>
  <si>
    <t>CHAUDHARY SURINDER SINGH</t>
  </si>
  <si>
    <t>SUSHIL KUMAR RINKU</t>
  </si>
  <si>
    <t>RAJINDER BERI</t>
  </si>
  <si>
    <t>K D Bhandari</t>
  </si>
  <si>
    <t>SURINDER SINGH SODHI</t>
  </si>
  <si>
    <t>PAWAN KUMAR TINU</t>
  </si>
  <si>
    <t>Prof. GURDHIAN SINGH MULTANI</t>
  </si>
  <si>
    <t>ARUN DOGRA</t>
  </si>
  <si>
    <t>Sangat Singh Gilzian</t>
  </si>
  <si>
    <t>PAWAN KUMAR ADIA</t>
  </si>
  <si>
    <t>SUNDER SHAM ARORA</t>
  </si>
  <si>
    <t>HARMINDER SINGH</t>
  </si>
  <si>
    <t>AMARPREET SINGH LALLY</t>
  </si>
  <si>
    <t>TARLOCHAN SINGH</t>
  </si>
  <si>
    <t>LALIT MOHAN BALLU</t>
  </si>
  <si>
    <t>SUNITA RANI</t>
  </si>
  <si>
    <t>KANWAR PAL SINGH</t>
  </si>
  <si>
    <t>BRINDER SINGH DHILLON</t>
  </si>
  <si>
    <t>CHARANJIT SINGH CHANNI</t>
  </si>
  <si>
    <t>Ranjit Singh Gill</t>
  </si>
  <si>
    <t>BALBIR SINGH SIDHU</t>
  </si>
  <si>
    <t>GURPREET SINGH</t>
  </si>
  <si>
    <t>Kuljit Singh Nagra</t>
  </si>
  <si>
    <t>Gurpreet Singh Raju Khanna</t>
  </si>
  <si>
    <t>JASDEEP KAUR YADU</t>
  </si>
  <si>
    <t>PARAMJIT SINGH DHILLON</t>
  </si>
  <si>
    <t>VIKRAM SINGH BAJWA</t>
  </si>
  <si>
    <t>SANJEEV TALWAR</t>
  </si>
  <si>
    <t>SATINDERPAL SINGH TAJPURI</t>
  </si>
  <si>
    <t>KAMALJIT SINGH KARWAL</t>
  </si>
  <si>
    <t>Gurdev Sharma Debi</t>
  </si>
  <si>
    <t>BHARAT BHUSHAN ASHU</t>
  </si>
  <si>
    <t>PARVEEN BANSAL</t>
  </si>
  <si>
    <t>Darshan Singh Shivalik</t>
  </si>
  <si>
    <t>LAKHVIR SINGH</t>
  </si>
  <si>
    <t>CAPT. SANDEEP SINGH SANDHU</t>
  </si>
  <si>
    <t>KAMIL AMAR SINGH</t>
  </si>
  <si>
    <t>S.R. KALER</t>
  </si>
  <si>
    <t>BHUPINDER SINGH SAHOKE</t>
  </si>
  <si>
    <t>TIRATH SINGH MAHLA</t>
  </si>
  <si>
    <t>MALVIKA SOOD</t>
  </si>
  <si>
    <t>SUKHJIT SINGH KAKA LOHGARH</t>
  </si>
  <si>
    <t>Janmeja Singh Sekhon</t>
  </si>
  <si>
    <t>PARMINDER SINGH PINKI</t>
  </si>
  <si>
    <t>JOGINDER SINGH JINDU</t>
  </si>
  <si>
    <t>VARDEV SINGH</t>
  </si>
  <si>
    <t>Sukhbir Singh Badal</t>
  </si>
  <si>
    <t>SURJIT KUMAR JYANI</t>
  </si>
  <si>
    <t>KULDEEP KUMAR alias DEEP KAMBOJ</t>
  </si>
  <si>
    <t>VANDANA SANGWAL</t>
  </si>
  <si>
    <t>PARKASH SINGH BADAL</t>
  </si>
  <si>
    <t>Hardeep Singh Dimpy Dhillon</t>
  </si>
  <si>
    <t>Harpreet Singh</t>
  </si>
  <si>
    <t>KANWARJIT SINGH</t>
  </si>
  <si>
    <t>PARAMBANS SINGH 'BUNTY ROMANA'</t>
  </si>
  <si>
    <t>AJAIPAL SINGH SANDHU</t>
  </si>
  <si>
    <t>MANJIT SINGH ALIAS SUBA SINGH</t>
  </si>
  <si>
    <t>Sikander Singh Maluka</t>
  </si>
  <si>
    <t>DARSHAN SINGH KOTFATTA</t>
  </si>
  <si>
    <t>Manpreet Singh Badal</t>
  </si>
  <si>
    <t>PARKASH SINGH BHATTI</t>
  </si>
  <si>
    <t>Jeetmohinder Singh Sidhu</t>
  </si>
  <si>
    <t>LAKHA SINGH SIDHANA</t>
  </si>
  <si>
    <t>Shubhdeep Singh Sidhu Moose Wala</t>
  </si>
  <si>
    <t>Bikram Singh</t>
  </si>
  <si>
    <t>Dr. NISHAN SINGH HAKAMWALA</t>
  </si>
  <si>
    <t>Parminder Singh Dhindsa</t>
  </si>
  <si>
    <t>Gulzar Singh Moonak</t>
  </si>
  <si>
    <t>JASWINDER SINGH DHIMAN S/o AMARJIT SINGH</t>
  </si>
  <si>
    <t>KULWANT SINGH KEETU</t>
  </si>
  <si>
    <t>Gurjant Singh Kattu</t>
  </si>
  <si>
    <t>RAZIA SULTANA</t>
  </si>
  <si>
    <t>SIMRANJIT SINGH MANN</t>
  </si>
  <si>
    <t>DALVIR SINGH GOLDY</t>
  </si>
  <si>
    <t>Vijay Inder Singla</t>
  </si>
  <si>
    <t>KABIR DASS</t>
  </si>
  <si>
    <t>Mohit Mohindra</t>
  </si>
  <si>
    <t>Jagdish Kumar Jagga</t>
  </si>
  <si>
    <t>DEEPINDER SINGH DHILLON</t>
  </si>
  <si>
    <t>MADAN LAL</t>
  </si>
  <si>
    <t>HARINDER PAL SINGH CHANDUMAJRA</t>
  </si>
  <si>
    <t>Amarinder Singh</t>
  </si>
  <si>
    <t>SURJIT SINGH RAKHRA</t>
  </si>
  <si>
    <t>Vaninder Kaur Loomba</t>
  </si>
  <si>
    <t>SADS</t>
  </si>
  <si>
    <t>SAD(M)</t>
  </si>
  <si>
    <t>PLCP</t>
  </si>
  <si>
    <t>Gap(W-R)</t>
  </si>
  <si>
    <t>total  constituencies</t>
  </si>
  <si>
    <t>Total winning candidates</t>
  </si>
  <si>
    <t>high vote</t>
  </si>
  <si>
    <t>lowest votes</t>
  </si>
  <si>
    <t>total vote polled</t>
  </si>
  <si>
    <t>highst</t>
  </si>
  <si>
    <t>highs win</t>
  </si>
  <si>
    <t>add</t>
  </si>
  <si>
    <t>Row Labels</t>
  </si>
  <si>
    <t>Grand Total</t>
  </si>
  <si>
    <t>Sum of Total Votes Received(W)</t>
  </si>
  <si>
    <t>Count of Total Votes Received(W)</t>
  </si>
  <si>
    <t>Sum of Gap(W-R)</t>
  </si>
  <si>
    <t xml:space="preserve">Punjab Electoin 2022 </t>
  </si>
  <si>
    <t>DASHBOARD</t>
  </si>
</sst>
</file>

<file path=xl/styles.xml><?xml version="1.0" encoding="utf-8"?>
<styleSheet xmlns="http://schemas.openxmlformats.org/spreadsheetml/2006/main" xmlns:mc="http://schemas.openxmlformats.org/markup-compatibility/2006" xmlns:x14ac="http://schemas.microsoft.com/office/spreadsheetml/2009/9/ac" mc:Ignorable="x14ac">
  <fonts count="6" x14ac:knownFonts="1">
    <font>
      <sz val="11"/>
      <color theme="1"/>
      <name val="Calibri"/>
      <family val="2"/>
      <scheme val="minor"/>
    </font>
    <font>
      <b/>
      <sz val="11"/>
      <color theme="1"/>
      <name val="Calibri"/>
      <family val="2"/>
      <scheme val="minor"/>
    </font>
    <font>
      <sz val="11"/>
      <color rgb="FF000000"/>
      <name val="Calibri"/>
    </font>
    <font>
      <sz val="11"/>
      <color rgb="FF000000"/>
      <name val="Calibri"/>
      <family val="2"/>
    </font>
    <font>
      <sz val="22"/>
      <color theme="0"/>
      <name val="Calibri"/>
      <family val="2"/>
      <scheme val="minor"/>
    </font>
    <font>
      <sz val="24"/>
      <color theme="0"/>
      <name val="Calibri"/>
      <family val="2"/>
      <scheme val="minor"/>
    </font>
  </fonts>
  <fills count="4">
    <fill>
      <patternFill patternType="none"/>
    </fill>
    <fill>
      <patternFill patternType="gray125"/>
    </fill>
    <fill>
      <patternFill patternType="solid">
        <fgColor theme="0" tint="-0.249977111117893"/>
        <bgColor indexed="64"/>
      </patternFill>
    </fill>
    <fill>
      <patternFill patternType="solid">
        <fgColor theme="1"/>
        <bgColor indexed="64"/>
      </patternFill>
    </fill>
  </fills>
  <borders count="1">
    <border>
      <left/>
      <right/>
      <top/>
      <bottom/>
      <diagonal/>
    </border>
  </borders>
  <cellStyleXfs count="2">
    <xf numFmtId="0" fontId="0" fillId="0" borderId="0"/>
    <xf numFmtId="0" fontId="2" fillId="0" borderId="0"/>
  </cellStyleXfs>
  <cellXfs count="13">
    <xf numFmtId="0" fontId="0" fillId="0" borderId="0" xfId="0"/>
    <xf numFmtId="0" fontId="2" fillId="0" borderId="0" xfId="1"/>
    <xf numFmtId="0" fontId="2" fillId="0" borderId="0" xfId="1"/>
    <xf numFmtId="0" fontId="2" fillId="0" borderId="0" xfId="1"/>
    <xf numFmtId="0" fontId="1" fillId="2" borderId="0" xfId="0" applyFont="1" applyFill="1"/>
    <xf numFmtId="0" fontId="0" fillId="0" borderId="0" xfId="0" applyAlignment="1">
      <alignment horizontal="left"/>
    </xf>
    <xf numFmtId="0" fontId="1" fillId="2" borderId="0" xfId="0" applyFont="1" applyFill="1" applyAlignment="1">
      <alignment horizontal="left"/>
    </xf>
    <xf numFmtId="0" fontId="3" fillId="0" borderId="0" xfId="0" applyFont="1"/>
    <xf numFmtId="0" fontId="0" fillId="0" borderId="0" xfId="0" pivotButton="1"/>
    <xf numFmtId="0" fontId="0" fillId="0" borderId="0" xfId="0" applyNumberFormat="1"/>
    <xf numFmtId="0" fontId="0" fillId="3" borderId="0" xfId="0" applyFill="1"/>
    <xf numFmtId="0" fontId="4" fillId="3" borderId="0" xfId="0" applyFont="1" applyFill="1"/>
    <xf numFmtId="0" fontId="5" fillId="3" borderId="0" xfId="0" applyFont="1" applyFill="1"/>
  </cellXfs>
  <cellStyles count="2">
    <cellStyle name="Normal" xfId="0" builtinId="0"/>
    <cellStyle name="Normal 2" xfId="1"/>
  </cellStyles>
  <dxfs count="3">
    <dxf>
      <font>
        <b/>
        <i val="0"/>
        <strike val="0"/>
        <condense val="0"/>
        <extend val="0"/>
        <outline val="0"/>
        <shadow val="0"/>
        <u val="none"/>
        <vertAlign val="baseline"/>
        <sz val="11"/>
        <color theme="1"/>
        <name val="Calibri"/>
        <scheme val="minor"/>
      </font>
      <fill>
        <patternFill patternType="solid">
          <fgColor indexed="64"/>
          <bgColor theme="0" tint="-0.249977111117893"/>
        </patternFill>
      </fill>
    </dxf>
    <dxf>
      <font>
        <b val="0"/>
        <i val="0"/>
        <strike val="0"/>
        <condense val="0"/>
        <extend val="0"/>
        <outline val="0"/>
        <shadow val="0"/>
        <u val="none"/>
        <vertAlign val="baseline"/>
        <sz val="11"/>
        <color rgb="FF000000"/>
        <name val="Calibri"/>
        <scheme val="none"/>
      </font>
    </dxf>
    <dxf>
      <alignment horizontal="left" vertical="bottom" textRotation="0" wrapText="0" indent="0" justifyLastLine="0" shrinkToFit="0" readingOrder="0"/>
    </dxf>
  </dxfs>
  <tableStyles count="0" defaultTableStyle="TableStyleMedium2" defaultPivotStyle="PivotStyleLight16"/>
  <colors>
    <mruColors>
      <color rgb="FF0066CC"/>
      <color rgb="FF0000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(3).xlsx]party perfomance!PivotTable5</c:name>
    <c:fmtId val="5"/>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a:glow rad="101600">
              <a:schemeClr val="accent2">
                <a:satMod val="175000"/>
                <a:alpha val="40000"/>
              </a:schemeClr>
            </a:glow>
          </a:effectLst>
        </c:spPr>
      </c:pivotFmt>
    </c:pivotFmts>
    <c:plotArea>
      <c:layout/>
      <c:pieChart>
        <c:varyColors val="1"/>
        <c:ser>
          <c:idx val="0"/>
          <c:order val="0"/>
          <c:tx>
            <c:strRef>
              <c:f>'party perfomance'!$B$3</c:f>
              <c:strCache>
                <c:ptCount val="1"/>
                <c:pt idx="0">
                  <c:v>Total</c:v>
                </c:pt>
              </c:strCache>
            </c:strRef>
          </c:tx>
          <c:dPt>
            <c:idx val="0"/>
            <c:bubble3D val="0"/>
            <c:spPr>
              <a:solidFill>
                <a:schemeClr val="accent1"/>
              </a:solidFill>
              <a:ln w="19050">
                <a:solidFill>
                  <a:schemeClr val="lt1"/>
                </a:solidFill>
              </a:ln>
              <a:effectLst>
                <a:glow rad="101600">
                  <a:schemeClr val="accent2">
                    <a:satMod val="175000"/>
                    <a:alpha val="40000"/>
                  </a:schemeClr>
                </a:glow>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cat>
            <c:strRef>
              <c:f>'party perfomance'!$A$4:$A$10</c:f>
              <c:strCache>
                <c:ptCount val="6"/>
                <c:pt idx="0">
                  <c:v>AAAP</c:v>
                </c:pt>
                <c:pt idx="1">
                  <c:v>BJP</c:v>
                </c:pt>
                <c:pt idx="2">
                  <c:v>BSP</c:v>
                </c:pt>
                <c:pt idx="3">
                  <c:v>INC</c:v>
                </c:pt>
                <c:pt idx="4">
                  <c:v>IND</c:v>
                </c:pt>
                <c:pt idx="5">
                  <c:v>SAD</c:v>
                </c:pt>
              </c:strCache>
            </c:strRef>
          </c:cat>
          <c:val>
            <c:numRef>
              <c:f>'party perfomance'!$B$4:$B$10</c:f>
              <c:numCache>
                <c:formatCode>General</c:formatCode>
                <c:ptCount val="6"/>
                <c:pt idx="0">
                  <c:v>92</c:v>
                </c:pt>
                <c:pt idx="1">
                  <c:v>2</c:v>
                </c:pt>
                <c:pt idx="2">
                  <c:v>1</c:v>
                </c:pt>
                <c:pt idx="3">
                  <c:v>18</c:v>
                </c:pt>
                <c:pt idx="4">
                  <c:v>1</c:v>
                </c:pt>
                <c:pt idx="5">
                  <c:v>3</c:v>
                </c:pt>
              </c:numCache>
            </c:numRef>
          </c:val>
        </c:ser>
        <c:dLbls>
          <c:showLegendKey val="0"/>
          <c:showVal val="0"/>
          <c:showCatName val="0"/>
          <c:showSerName val="0"/>
          <c:showPercent val="0"/>
          <c:showBubbleSize val="0"/>
          <c:showLeaderLines val="1"/>
        </c:dLbls>
        <c:firstSliceAng val="0"/>
      </c:pie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00B0F0"/>
    </a:solidFill>
    <a:ln w="9525" cap="flat" cmpd="sng" algn="ctr">
      <a:noFill/>
      <a:round/>
    </a:ln>
    <a:effectLst/>
    <a:scene3d>
      <a:camera prst="orthographicFront"/>
      <a:lightRig rig="threePt" dir="t"/>
    </a:scene3d>
    <a:sp3d>
      <a:bevelT w="165100" prst="coolSlan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(3).xlsx]region-wise result!PivotTable6</c:name>
    <c:fmtId val="27"/>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'region-wise result'!$B$3</c:f>
              <c:strCache>
                <c:ptCount val="1"/>
                <c:pt idx="0">
                  <c:v>Total</c:v>
                </c:pt>
              </c:strCache>
            </c:strRef>
          </c:tx>
          <c:spPr>
            <a:solidFill>
              <a:srgbClr val="FFC000"/>
            </a:solidFill>
            <a:ln>
              <a:noFill/>
            </a:ln>
            <a:effectLst/>
            <a:sp3d/>
          </c:spPr>
          <c:invertIfNegative val="0"/>
          <c:cat>
            <c:strRef>
              <c:f>'region-wise result'!$A$4:$A$7</c:f>
              <c:strCache>
                <c:ptCount val="3"/>
                <c:pt idx="0">
                  <c:v>Doaba</c:v>
                </c:pt>
                <c:pt idx="1">
                  <c:v>Majha</c:v>
                </c:pt>
                <c:pt idx="2">
                  <c:v>Malwa</c:v>
                </c:pt>
              </c:strCache>
            </c:strRef>
          </c:cat>
          <c:val>
            <c:numRef>
              <c:f>'region-wise result'!$B$4:$B$7</c:f>
              <c:numCache>
                <c:formatCode>General</c:formatCode>
                <c:ptCount val="3"/>
                <c:pt idx="0">
                  <c:v>1103754</c:v>
                </c:pt>
                <c:pt idx="1">
                  <c:v>1323177</c:v>
                </c:pt>
                <c:pt idx="2">
                  <c:v>4394906</c:v>
                </c:pt>
              </c:numCache>
            </c:numRef>
          </c:val>
        </c:ser>
        <c:dLbls>
          <c:showLegendKey val="0"/>
          <c:showVal val="0"/>
          <c:showCatName val="0"/>
          <c:showSerName val="0"/>
          <c:showPercent val="0"/>
          <c:showBubbleSize val="0"/>
        </c:dLbls>
        <c:gapWidth val="150"/>
        <c:shape val="box"/>
        <c:axId val="840837424"/>
        <c:axId val="840841776"/>
        <c:axId val="0"/>
      </c:bar3DChart>
      <c:catAx>
        <c:axId val="840837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41776"/>
        <c:crosses val="autoZero"/>
        <c:auto val="1"/>
        <c:lblAlgn val="ctr"/>
        <c:lblOffset val="100"/>
        <c:noMultiLvlLbl val="0"/>
      </c:catAx>
      <c:valAx>
        <c:axId val="8408417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083742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accent1">
        <a:lumMod val="50000"/>
      </a:schemeClr>
    </a:solidFill>
    <a:ln w="9525" cap="flat" cmpd="sng" algn="ctr">
      <a:solidFill>
        <a:schemeClr val="tx1">
          <a:lumMod val="15000"/>
          <a:lumOff val="85000"/>
        </a:schemeClr>
      </a:solidFill>
      <a:round/>
    </a:ln>
    <a:effectLst>
      <a:softEdge rad="63500"/>
    </a:effectLst>
    <a:scene3d>
      <a:camera prst="orthographicFront"/>
      <a:lightRig rig="threePt" dir="t"/>
    </a:scene3d>
    <a:sp3d>
      <a:bevel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(3).xlsx]Distric-wise anylises!PivotTable7</c:name>
    <c:fmtId val="6"/>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'Distric-wise anylises'!$B$3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'Distric-wise anylises'!$A$4:$A$27</c:f>
              <c:strCache>
                <c:ptCount val="23"/>
                <c:pt idx="0">
                  <c:v>Amritsar</c:v>
                </c:pt>
                <c:pt idx="1">
                  <c:v>Barnala</c:v>
                </c:pt>
                <c:pt idx="2">
                  <c:v>Bathinda</c:v>
                </c:pt>
                <c:pt idx="3">
                  <c:v>Faridkot</c:v>
                </c:pt>
                <c:pt idx="4">
                  <c:v>Fatehgarh Sahib</c:v>
                </c:pt>
                <c:pt idx="5">
                  <c:v>Fazilka</c:v>
                </c:pt>
                <c:pt idx="6">
                  <c:v>Ferozpur</c:v>
                </c:pt>
                <c:pt idx="7">
                  <c:v>Gurdaspur</c:v>
                </c:pt>
                <c:pt idx="8">
                  <c:v>Hoshiarpur</c:v>
                </c:pt>
                <c:pt idx="9">
                  <c:v>Jalandhar</c:v>
                </c:pt>
                <c:pt idx="10">
                  <c:v>Kapurthala</c:v>
                </c:pt>
                <c:pt idx="11">
                  <c:v>Ludhiana</c:v>
                </c:pt>
                <c:pt idx="12">
                  <c:v>Malerkotla</c:v>
                </c:pt>
                <c:pt idx="13">
                  <c:v>Mansa</c:v>
                </c:pt>
                <c:pt idx="14">
                  <c:v>Moga</c:v>
                </c:pt>
                <c:pt idx="15">
                  <c:v>Pathankot</c:v>
                </c:pt>
                <c:pt idx="16">
                  <c:v>Patiala</c:v>
                </c:pt>
                <c:pt idx="17">
                  <c:v>Rupnagar</c:v>
                </c:pt>
                <c:pt idx="18">
                  <c:v>S.A.S. Nagar</c:v>
                </c:pt>
                <c:pt idx="19">
                  <c:v>S.B.S. Nagar</c:v>
                </c:pt>
                <c:pt idx="20">
                  <c:v>Sangrur</c:v>
                </c:pt>
                <c:pt idx="21">
                  <c:v>Sri Muktsar Sahib</c:v>
                </c:pt>
                <c:pt idx="22">
                  <c:v>Taran Taran</c:v>
                </c:pt>
              </c:strCache>
            </c:strRef>
          </c:cat>
          <c:val>
            <c:numRef>
              <c:f>'Distric-wise anylises'!$B$4:$B$27</c:f>
              <c:numCache>
                <c:formatCode>General</c:formatCode>
                <c:ptCount val="23"/>
                <c:pt idx="0">
                  <c:v>579746</c:v>
                </c:pt>
                <c:pt idx="1">
                  <c:v>241391</c:v>
                </c:pt>
                <c:pt idx="2">
                  <c:v>402725</c:v>
                </c:pt>
                <c:pt idx="3">
                  <c:v>193632</c:v>
                </c:pt>
                <c:pt idx="4">
                  <c:v>106710</c:v>
                </c:pt>
                <c:pt idx="5">
                  <c:v>256113</c:v>
                </c:pt>
                <c:pt idx="6">
                  <c:v>261336</c:v>
                </c:pt>
                <c:pt idx="7">
                  <c:v>406299</c:v>
                </c:pt>
                <c:pt idx="8">
                  <c:v>298558</c:v>
                </c:pt>
                <c:pt idx="9">
                  <c:v>462508</c:v>
                </c:pt>
                <c:pt idx="10">
                  <c:v>221274</c:v>
                </c:pt>
                <c:pt idx="11">
                  <c:v>822065</c:v>
                </c:pt>
                <c:pt idx="12">
                  <c:v>118514</c:v>
                </c:pt>
                <c:pt idx="13">
                  <c:v>229218</c:v>
                </c:pt>
                <c:pt idx="14">
                  <c:v>257342</c:v>
                </c:pt>
                <c:pt idx="15">
                  <c:v>147839</c:v>
                </c:pt>
                <c:pt idx="16">
                  <c:v>592706</c:v>
                </c:pt>
                <c:pt idx="17">
                  <c:v>146578</c:v>
                </c:pt>
                <c:pt idx="18">
                  <c:v>168519</c:v>
                </c:pt>
                <c:pt idx="19">
                  <c:v>121414</c:v>
                </c:pt>
                <c:pt idx="20">
                  <c:v>334628</c:v>
                </c:pt>
                <c:pt idx="21">
                  <c:v>263429</c:v>
                </c:pt>
                <c:pt idx="22">
                  <c:v>189293</c:v>
                </c:pt>
              </c:numCache>
            </c:numRef>
          </c:val>
          <c:smooth val="0"/>
        </c:ser>
        <c:dLbls>
          <c:showLegendKey val="0"/>
          <c:showVal val="0"/>
          <c:showCatName val="0"/>
          <c:showSerName val="0"/>
          <c:showPercent val="0"/>
          <c:showBubbleSize val="0"/>
        </c:dLbls>
        <c:marker val="1"/>
        <c:smooth val="0"/>
        <c:axId val="1063715472"/>
        <c:axId val="1063713296"/>
      </c:lineChart>
      <c:catAx>
        <c:axId val="1063715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13296"/>
        <c:crosses val="autoZero"/>
        <c:auto val="1"/>
        <c:lblAlgn val="ctr"/>
        <c:lblOffset val="100"/>
        <c:noMultiLvlLbl val="0"/>
      </c:catAx>
      <c:valAx>
        <c:axId val="1063713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371547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bg2">
        <a:lumMod val="10000"/>
      </a:schemeClr>
    </a:solidFill>
    <a:ln w="9525" cap="flat" cmpd="sng" algn="ctr">
      <a:noFill/>
      <a:round/>
    </a:ln>
    <a:effectLst/>
    <a:scene3d>
      <a:camera prst="orthographicFront"/>
      <a:lightRig rig="threePt" dir="t"/>
    </a:scene3d>
    <a:sp3d>
      <a:bevelT w="139700" h="139700" prst="divot"/>
    </a:sp3d>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s>
    <c:plotArea>
      <c:layout/>
      <c:areaChart>
        <c:grouping val="stacked"/>
        <c:varyColors val="0"/>
        <c:ser>
          <c:idx val="0"/>
          <c:order val="0"/>
          <c:tx>
            <c:v>Total</c:v>
          </c:tx>
          <c:spPr>
            <a:solidFill>
              <a:srgbClr val="FF0000"/>
            </a:solidFill>
            <a:ln>
              <a:noFill/>
            </a:ln>
            <a:effectLst/>
          </c:spPr>
          <c:cat>
            <c:strLit>
              <c:ptCount val="2"/>
              <c:pt idx="0">
                <c:v>F</c:v>
              </c:pt>
              <c:pt idx="1">
                <c:v>M</c:v>
              </c:pt>
            </c:strLit>
          </c:cat>
          <c:val>
            <c:numLit>
              <c:formatCode>General</c:formatCode>
              <c:ptCount val="2"/>
              <c:pt idx="0">
                <c:v>13</c:v>
              </c:pt>
              <c:pt idx="1">
                <c:v>104</c:v>
              </c:pt>
            </c:numLit>
          </c:val>
        </c:ser>
        <c:dLbls>
          <c:showLegendKey val="0"/>
          <c:showVal val="0"/>
          <c:showCatName val="0"/>
          <c:showSerName val="0"/>
          <c:showPercent val="0"/>
          <c:showBubbleSize val="0"/>
        </c:dLbls>
        <c:axId val="883820432"/>
        <c:axId val="883820976"/>
      </c:areaChart>
      <c:catAx>
        <c:axId val="8838204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820976"/>
        <c:crosses val="autoZero"/>
        <c:auto val="1"/>
        <c:lblAlgn val="ctr"/>
        <c:lblOffset val="100"/>
        <c:noMultiLvlLbl val="0"/>
      </c:catAx>
      <c:valAx>
        <c:axId val="8838209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382043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solidFill>
      <a:schemeClr val="accent6">
        <a:lumMod val="60000"/>
        <a:lumOff val="40000"/>
      </a:schemeClr>
    </a:solidFill>
    <a:ln w="9525" cap="flat" cmpd="sng" algn="ctr">
      <a:solidFill>
        <a:schemeClr val="tx1">
          <a:lumMod val="15000"/>
          <a:lumOff val="85000"/>
        </a:schemeClr>
      </a:solidFill>
      <a:round/>
    </a:ln>
    <a:effectLst/>
    <a:scene3d>
      <a:camera prst="orthographicFront"/>
      <a:lightRig rig="threePt" dir="t"/>
    </a:scene3d>
    <a:sp3d>
      <a:bevelT prst="angle"/>
    </a:sp3d>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(3).xlsx]Margin Analysies!PivotTable9</c:name>
    <c:fmtId val="5"/>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s>
    <c:plotArea>
      <c:layout/>
      <c:ofPieChart>
        <c:ofPieType val="bar"/>
        <c:varyColors val="1"/>
        <c:ser>
          <c:idx val="0"/>
          <c:order val="0"/>
          <c:tx>
            <c:strRef>
              <c:f>'Margin Analysies'!$B$3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cat>
            <c:strRef>
              <c:f>'Margin Analysies'!$A$4:$A$121</c:f>
              <c:strCache>
                <c:ptCount val="117"/>
                <c:pt idx="0">
                  <c:v>Abohar</c:v>
                </c:pt>
                <c:pt idx="1">
                  <c:v>Adampur</c:v>
                </c:pt>
                <c:pt idx="2">
                  <c:v>Ajnala</c:v>
                </c:pt>
                <c:pt idx="3">
                  <c:v>Amargarh</c:v>
                </c:pt>
                <c:pt idx="4">
                  <c:v>Amloh</c:v>
                </c:pt>
                <c:pt idx="5">
                  <c:v>Amritsar Central</c:v>
                </c:pt>
                <c:pt idx="6">
                  <c:v>Amritsar East</c:v>
                </c:pt>
                <c:pt idx="7">
                  <c:v>Amritsar North</c:v>
                </c:pt>
                <c:pt idx="8">
                  <c:v>Amritsar South</c:v>
                </c:pt>
                <c:pt idx="9">
                  <c:v>Amritsar West</c:v>
                </c:pt>
                <c:pt idx="10">
                  <c:v>Anandpur Sahib</c:v>
                </c:pt>
                <c:pt idx="11">
                  <c:v>Atam Nagar</c:v>
                </c:pt>
                <c:pt idx="12">
                  <c:v>Attari</c:v>
                </c:pt>
                <c:pt idx="13">
                  <c:v>Baba Bakala</c:v>
                </c:pt>
                <c:pt idx="14">
                  <c:v>Balachaur</c:v>
                </c:pt>
                <c:pt idx="15">
                  <c:v>Balluana</c:v>
                </c:pt>
                <c:pt idx="16">
                  <c:v>Banga</c:v>
                </c:pt>
                <c:pt idx="17">
                  <c:v>Barnala</c:v>
                </c:pt>
                <c:pt idx="18">
                  <c:v>Bassi Pathana</c:v>
                </c:pt>
                <c:pt idx="19">
                  <c:v>Batala</c:v>
                </c:pt>
                <c:pt idx="20">
                  <c:v>Bathinda Rural</c:v>
                </c:pt>
                <c:pt idx="21">
                  <c:v>Bathinda Urban</c:v>
                </c:pt>
                <c:pt idx="22">
                  <c:v>Bhadaur</c:v>
                </c:pt>
                <c:pt idx="23">
                  <c:v>Bhagha Purana</c:v>
                </c:pt>
                <c:pt idx="24">
                  <c:v>Bhoa</c:v>
                </c:pt>
                <c:pt idx="25">
                  <c:v>Bholath</c:v>
                </c:pt>
                <c:pt idx="26">
                  <c:v>Bhucho Mandi</c:v>
                </c:pt>
                <c:pt idx="27">
                  <c:v>Budhlada</c:v>
                </c:pt>
                <c:pt idx="28">
                  <c:v>Chabbewal</c:v>
                </c:pt>
                <c:pt idx="29">
                  <c:v>Chamkaur Sahib</c:v>
                </c:pt>
                <c:pt idx="30">
                  <c:v>Dakha</c:v>
                </c:pt>
                <c:pt idx="31">
                  <c:v>Dasuya</c:v>
                </c:pt>
                <c:pt idx="32">
                  <c:v>Dera Baba Nanak</c:v>
                </c:pt>
                <c:pt idx="33">
                  <c:v>Dera Bassi</c:v>
                </c:pt>
                <c:pt idx="34">
                  <c:v>Dharamkot</c:v>
                </c:pt>
                <c:pt idx="35">
                  <c:v>Dhuri</c:v>
                </c:pt>
                <c:pt idx="36">
                  <c:v>Dina Nagar</c:v>
                </c:pt>
                <c:pt idx="37">
                  <c:v>Dirba</c:v>
                </c:pt>
                <c:pt idx="38">
                  <c:v>Faridkot</c:v>
                </c:pt>
                <c:pt idx="39">
                  <c:v>Fatehgarh Churian</c:v>
                </c:pt>
                <c:pt idx="40">
                  <c:v>Fatehgarh Sahib</c:v>
                </c:pt>
                <c:pt idx="41">
                  <c:v>Fazilka</c:v>
                </c:pt>
                <c:pt idx="42">
                  <c:v>Firozpur City</c:v>
                </c:pt>
                <c:pt idx="43">
                  <c:v>Firozpur Rural</c:v>
                </c:pt>
                <c:pt idx="44">
                  <c:v>Garhshankar</c:v>
                </c:pt>
                <c:pt idx="45">
                  <c:v>Ghanaur</c:v>
                </c:pt>
                <c:pt idx="46">
                  <c:v>Gidderbaha</c:v>
                </c:pt>
                <c:pt idx="47">
                  <c:v>Gill</c:v>
                </c:pt>
                <c:pt idx="48">
                  <c:v>Gurdaspur</c:v>
                </c:pt>
                <c:pt idx="49">
                  <c:v>Guru Har Sahai</c:v>
                </c:pt>
                <c:pt idx="50">
                  <c:v>Hoshiarpur</c:v>
                </c:pt>
                <c:pt idx="51">
                  <c:v>Jagraon</c:v>
                </c:pt>
                <c:pt idx="52">
                  <c:v>Jaitu</c:v>
                </c:pt>
                <c:pt idx="53">
                  <c:v>Jalalabad</c:v>
                </c:pt>
                <c:pt idx="54">
                  <c:v>Jalandhar Cantt.</c:v>
                </c:pt>
                <c:pt idx="55">
                  <c:v>Jalandhar Central</c:v>
                </c:pt>
                <c:pt idx="56">
                  <c:v>Jalandhar North</c:v>
                </c:pt>
                <c:pt idx="57">
                  <c:v>Jalandhar West</c:v>
                </c:pt>
                <c:pt idx="58">
                  <c:v>Jandiala</c:v>
                </c:pt>
                <c:pt idx="59">
                  <c:v>Kapurthala</c:v>
                </c:pt>
                <c:pt idx="60">
                  <c:v>Kartarpur</c:v>
                </c:pt>
                <c:pt idx="61">
                  <c:v>Khadoor Sahib</c:v>
                </c:pt>
                <c:pt idx="62">
                  <c:v>Khanna</c:v>
                </c:pt>
                <c:pt idx="63">
                  <c:v>Kharar</c:v>
                </c:pt>
                <c:pt idx="64">
                  <c:v>Khem Karan</c:v>
                </c:pt>
                <c:pt idx="65">
                  <c:v>Kotkapura</c:v>
                </c:pt>
                <c:pt idx="66">
                  <c:v>Lambi</c:v>
                </c:pt>
                <c:pt idx="67">
                  <c:v>Lehra</c:v>
                </c:pt>
                <c:pt idx="68">
                  <c:v>Ludhiana Central</c:v>
                </c:pt>
                <c:pt idx="69">
                  <c:v>Ludhiana East</c:v>
                </c:pt>
                <c:pt idx="70">
                  <c:v>Ludhiana North</c:v>
                </c:pt>
                <c:pt idx="71">
                  <c:v>Ludhiana South</c:v>
                </c:pt>
                <c:pt idx="72">
                  <c:v>Ludhiana West</c:v>
                </c:pt>
                <c:pt idx="73">
                  <c:v>Majitha</c:v>
                </c:pt>
                <c:pt idx="74">
                  <c:v>Malerkotla</c:v>
                </c:pt>
                <c:pt idx="75">
                  <c:v>Malout</c:v>
                </c:pt>
                <c:pt idx="76">
                  <c:v>Mansa</c:v>
                </c:pt>
                <c:pt idx="77">
                  <c:v>Maur</c:v>
                </c:pt>
                <c:pt idx="78">
                  <c:v>Mehal Kalan</c:v>
                </c:pt>
                <c:pt idx="79">
                  <c:v>Moga</c:v>
                </c:pt>
                <c:pt idx="80">
                  <c:v>Mukerian</c:v>
                </c:pt>
                <c:pt idx="81">
                  <c:v>Muktsar</c:v>
                </c:pt>
                <c:pt idx="82">
                  <c:v>Nabha</c:v>
                </c:pt>
                <c:pt idx="83">
                  <c:v>Nakodar</c:v>
                </c:pt>
                <c:pt idx="84">
                  <c:v>Nawan Shahr</c:v>
                </c:pt>
                <c:pt idx="85">
                  <c:v>Nihal Singhwala</c:v>
                </c:pt>
                <c:pt idx="86">
                  <c:v>Pathankot</c:v>
                </c:pt>
                <c:pt idx="87">
                  <c:v>Patiala</c:v>
                </c:pt>
                <c:pt idx="88">
                  <c:v>Patiala Rural</c:v>
                </c:pt>
                <c:pt idx="89">
                  <c:v>Patti</c:v>
                </c:pt>
                <c:pt idx="90">
                  <c:v>Payal</c:v>
                </c:pt>
                <c:pt idx="91">
                  <c:v>Phagwara</c:v>
                </c:pt>
                <c:pt idx="92">
                  <c:v>Phillaur</c:v>
                </c:pt>
                <c:pt idx="93">
                  <c:v>Qadian</c:v>
                </c:pt>
                <c:pt idx="94">
                  <c:v>Raikot</c:v>
                </c:pt>
                <c:pt idx="95">
                  <c:v>Raja Sansi</c:v>
                </c:pt>
                <c:pt idx="96">
                  <c:v>Rajpura</c:v>
                </c:pt>
                <c:pt idx="97">
                  <c:v>Rampura Phul</c:v>
                </c:pt>
                <c:pt idx="98">
                  <c:v>Rupnagar</c:v>
                </c:pt>
                <c:pt idx="99">
                  <c:v>S.A.S. Nagar</c:v>
                </c:pt>
                <c:pt idx="100">
                  <c:v>Sahnewal</c:v>
                </c:pt>
                <c:pt idx="101">
                  <c:v>Samana</c:v>
                </c:pt>
                <c:pt idx="102">
                  <c:v>Samrala</c:v>
                </c:pt>
                <c:pt idx="103">
                  <c:v>Sangrur</c:v>
                </c:pt>
                <c:pt idx="104">
                  <c:v>Sanour</c:v>
                </c:pt>
                <c:pt idx="105">
                  <c:v>Sardulgarh</c:v>
                </c:pt>
                <c:pt idx="106">
                  <c:v>Shahkot</c:v>
                </c:pt>
                <c:pt idx="107">
                  <c:v>Sham Chaurasi</c:v>
                </c:pt>
                <c:pt idx="108">
                  <c:v>Shutrana</c:v>
                </c:pt>
                <c:pt idx="109">
                  <c:v>Sri Hargobindpur</c:v>
                </c:pt>
                <c:pt idx="110">
                  <c:v>Sujanpur</c:v>
                </c:pt>
                <c:pt idx="111">
                  <c:v>Sultanpur Lodhi</c:v>
                </c:pt>
                <c:pt idx="112">
                  <c:v>Sunam</c:v>
                </c:pt>
                <c:pt idx="113">
                  <c:v>Talwandi Sabo</c:v>
                </c:pt>
                <c:pt idx="114">
                  <c:v>Tarn Taran</c:v>
                </c:pt>
                <c:pt idx="115">
                  <c:v>Urmar</c:v>
                </c:pt>
                <c:pt idx="116">
                  <c:v>Zira</c:v>
                </c:pt>
              </c:strCache>
            </c:strRef>
          </c:cat>
          <c:val>
            <c:numRef>
              <c:f>'Margin Analysies'!$B$4:$B$121</c:f>
              <c:numCache>
                <c:formatCode>General</c:formatCode>
                <c:ptCount val="117"/>
                <c:pt idx="0">
                  <c:v>27746</c:v>
                </c:pt>
                <c:pt idx="1">
                  <c:v>11434</c:v>
                </c:pt>
                <c:pt idx="2">
                  <c:v>15252</c:v>
                </c:pt>
                <c:pt idx="3">
                  <c:v>30347</c:v>
                </c:pt>
                <c:pt idx="4">
                  <c:v>5376</c:v>
                </c:pt>
                <c:pt idx="5">
                  <c:v>7335</c:v>
                </c:pt>
                <c:pt idx="6">
                  <c:v>7174</c:v>
                </c:pt>
                <c:pt idx="7">
                  <c:v>1204</c:v>
                </c:pt>
                <c:pt idx="8">
                  <c:v>28472</c:v>
                </c:pt>
                <c:pt idx="9">
                  <c:v>7759</c:v>
                </c:pt>
                <c:pt idx="10">
                  <c:v>8587</c:v>
                </c:pt>
                <c:pt idx="11">
                  <c:v>32199</c:v>
                </c:pt>
                <c:pt idx="12">
                  <c:v>16963</c:v>
                </c:pt>
                <c:pt idx="13">
                  <c:v>25383</c:v>
                </c:pt>
                <c:pt idx="14">
                  <c:v>2691</c:v>
                </c:pt>
                <c:pt idx="15">
                  <c:v>10574</c:v>
                </c:pt>
                <c:pt idx="16">
                  <c:v>5808</c:v>
                </c:pt>
                <c:pt idx="17">
                  <c:v>75277</c:v>
                </c:pt>
                <c:pt idx="18">
                  <c:v>4179</c:v>
                </c:pt>
                <c:pt idx="19">
                  <c:v>26138</c:v>
                </c:pt>
                <c:pt idx="20">
                  <c:v>10410</c:v>
                </c:pt>
                <c:pt idx="21">
                  <c:v>32789</c:v>
                </c:pt>
                <c:pt idx="22">
                  <c:v>50655</c:v>
                </c:pt>
                <c:pt idx="23">
                  <c:v>57644</c:v>
                </c:pt>
                <c:pt idx="24">
                  <c:v>26062</c:v>
                </c:pt>
                <c:pt idx="25">
                  <c:v>28318</c:v>
                </c:pt>
                <c:pt idx="26">
                  <c:v>21130</c:v>
                </c:pt>
                <c:pt idx="27">
                  <c:v>63323</c:v>
                </c:pt>
                <c:pt idx="28">
                  <c:v>247</c:v>
                </c:pt>
                <c:pt idx="29">
                  <c:v>21356</c:v>
                </c:pt>
                <c:pt idx="30">
                  <c:v>16354</c:v>
                </c:pt>
                <c:pt idx="31">
                  <c:v>12303</c:v>
                </c:pt>
                <c:pt idx="32">
                  <c:v>40261</c:v>
                </c:pt>
                <c:pt idx="33">
                  <c:v>21721</c:v>
                </c:pt>
                <c:pt idx="34">
                  <c:v>5807</c:v>
                </c:pt>
                <c:pt idx="35">
                  <c:v>21686</c:v>
                </c:pt>
                <c:pt idx="36">
                  <c:v>4541</c:v>
                </c:pt>
                <c:pt idx="37">
                  <c:v>51691</c:v>
                </c:pt>
                <c:pt idx="38">
                  <c:v>11396</c:v>
                </c:pt>
                <c:pt idx="39">
                  <c:v>20915</c:v>
                </c:pt>
                <c:pt idx="40">
                  <c:v>5069</c:v>
                </c:pt>
                <c:pt idx="41">
                  <c:v>19569</c:v>
                </c:pt>
                <c:pt idx="42">
                  <c:v>37984</c:v>
                </c:pt>
                <c:pt idx="43">
                  <c:v>33759</c:v>
                </c:pt>
                <c:pt idx="44">
                  <c:v>9486</c:v>
                </c:pt>
                <c:pt idx="45">
                  <c:v>31765</c:v>
                </c:pt>
                <c:pt idx="46">
                  <c:v>27720</c:v>
                </c:pt>
                <c:pt idx="47">
                  <c:v>15193</c:v>
                </c:pt>
                <c:pt idx="48">
                  <c:v>2869</c:v>
                </c:pt>
                <c:pt idx="49">
                  <c:v>29972</c:v>
                </c:pt>
                <c:pt idx="50">
                  <c:v>4253</c:v>
                </c:pt>
                <c:pt idx="51">
                  <c:v>7512</c:v>
                </c:pt>
                <c:pt idx="52">
                  <c:v>34194</c:v>
                </c:pt>
                <c:pt idx="53">
                  <c:v>22776</c:v>
                </c:pt>
                <c:pt idx="54">
                  <c:v>7304</c:v>
                </c:pt>
                <c:pt idx="55">
                  <c:v>19552</c:v>
                </c:pt>
                <c:pt idx="56">
                  <c:v>9225</c:v>
                </c:pt>
                <c:pt idx="57">
                  <c:v>16491</c:v>
                </c:pt>
                <c:pt idx="58">
                  <c:v>4636</c:v>
                </c:pt>
                <c:pt idx="59">
                  <c:v>43913</c:v>
                </c:pt>
                <c:pt idx="60">
                  <c:v>10999</c:v>
                </c:pt>
                <c:pt idx="61">
                  <c:v>5474</c:v>
                </c:pt>
                <c:pt idx="62">
                  <c:v>45780</c:v>
                </c:pt>
                <c:pt idx="63">
                  <c:v>13859</c:v>
                </c:pt>
                <c:pt idx="64">
                  <c:v>466</c:v>
                </c:pt>
                <c:pt idx="65">
                  <c:v>1349</c:v>
                </c:pt>
                <c:pt idx="66">
                  <c:v>30930</c:v>
                </c:pt>
                <c:pt idx="67">
                  <c:v>41371</c:v>
                </c:pt>
                <c:pt idx="68">
                  <c:v>24663</c:v>
                </c:pt>
                <c:pt idx="69">
                  <c:v>34097</c:v>
                </c:pt>
                <c:pt idx="70">
                  <c:v>30890</c:v>
                </c:pt>
                <c:pt idx="71">
                  <c:v>37841</c:v>
                </c:pt>
                <c:pt idx="72">
                  <c:v>35620</c:v>
                </c:pt>
                <c:pt idx="73">
                  <c:v>22493</c:v>
                </c:pt>
                <c:pt idx="74">
                  <c:v>37622</c:v>
                </c:pt>
                <c:pt idx="75">
                  <c:v>5471</c:v>
                </c:pt>
                <c:pt idx="76">
                  <c:v>35479</c:v>
                </c:pt>
                <c:pt idx="77">
                  <c:v>63581</c:v>
                </c:pt>
                <c:pt idx="78">
                  <c:v>37558</c:v>
                </c:pt>
                <c:pt idx="79">
                  <c:v>33009</c:v>
                </c:pt>
                <c:pt idx="80">
                  <c:v>2712</c:v>
                </c:pt>
                <c:pt idx="81">
                  <c:v>19173</c:v>
                </c:pt>
                <c:pt idx="82">
                  <c:v>58206</c:v>
                </c:pt>
                <c:pt idx="83">
                  <c:v>13588</c:v>
                </c:pt>
                <c:pt idx="84">
                  <c:v>4567</c:v>
                </c:pt>
                <c:pt idx="85">
                  <c:v>15282</c:v>
                </c:pt>
                <c:pt idx="86">
                  <c:v>6750</c:v>
                </c:pt>
                <c:pt idx="87">
                  <c:v>19873</c:v>
                </c:pt>
                <c:pt idx="88">
                  <c:v>52600</c:v>
                </c:pt>
                <c:pt idx="89">
                  <c:v>7843</c:v>
                </c:pt>
                <c:pt idx="90">
                  <c:v>35922</c:v>
                </c:pt>
                <c:pt idx="91">
                  <c:v>27503</c:v>
                </c:pt>
                <c:pt idx="92">
                  <c:v>19794</c:v>
                </c:pt>
                <c:pt idx="93">
                  <c:v>37885</c:v>
                </c:pt>
                <c:pt idx="94">
                  <c:v>4804</c:v>
                </c:pt>
                <c:pt idx="95">
                  <c:v>36430</c:v>
                </c:pt>
                <c:pt idx="96">
                  <c:v>53474</c:v>
                </c:pt>
                <c:pt idx="97">
                  <c:v>16797</c:v>
                </c:pt>
                <c:pt idx="98">
                  <c:v>4190</c:v>
                </c:pt>
                <c:pt idx="99">
                  <c:v>7646</c:v>
                </c:pt>
                <c:pt idx="100">
                  <c:v>7942</c:v>
                </c:pt>
                <c:pt idx="101">
                  <c:v>39713</c:v>
                </c:pt>
                <c:pt idx="102">
                  <c:v>23632</c:v>
                </c:pt>
                <c:pt idx="103">
                  <c:v>6043</c:v>
                </c:pt>
                <c:pt idx="104">
                  <c:v>49122</c:v>
                </c:pt>
                <c:pt idx="105">
                  <c:v>35008</c:v>
                </c:pt>
                <c:pt idx="106">
                  <c:v>11882</c:v>
                </c:pt>
                <c:pt idx="107">
                  <c:v>4574</c:v>
                </c:pt>
                <c:pt idx="108">
                  <c:v>51554</c:v>
                </c:pt>
                <c:pt idx="109">
                  <c:v>39656</c:v>
                </c:pt>
                <c:pt idx="110">
                  <c:v>1131</c:v>
                </c:pt>
                <c:pt idx="111">
                  <c:v>14026</c:v>
                </c:pt>
                <c:pt idx="112">
                  <c:v>26518</c:v>
                </c:pt>
                <c:pt idx="113">
                  <c:v>50212</c:v>
                </c:pt>
                <c:pt idx="114">
                  <c:v>5545</c:v>
                </c:pt>
                <c:pt idx="115">
                  <c:v>12079</c:v>
                </c:pt>
                <c:pt idx="116">
                  <c:v>27644</c:v>
                </c:pt>
              </c:numCache>
            </c:numRef>
          </c:val>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5552296587926504"/>
          <c:y val="0.249303732866725"/>
          <c:w val="0.2361437007874015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rgbClr val="92D050"/>
    </a:solidFill>
    <a:ln w="9525" cap="flat" cmpd="sng" algn="ctr">
      <a:noFill/>
      <a:round/>
    </a:ln>
    <a:effectLst>
      <a:innerShdw blurRad="63500" dist="50800" dir="8100000">
        <a:prstClr val="black">
          <a:alpha val="50000"/>
        </a:prstClr>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(3).xlsx]party perfomance!PivotTable5</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a:glow rad="101600">
              <a:schemeClr val="accent2">
                <a:satMod val="175000"/>
                <a:alpha val="40000"/>
              </a:schemeClr>
            </a:glow>
          </a:effectLst>
        </c:spPr>
      </c:pivotFmt>
      <c:pivotFmt>
        <c:idx val="2"/>
        <c:spPr>
          <a:solidFill>
            <a:schemeClr val="accent1"/>
          </a:solidFill>
          <a:ln w="19050">
            <a:solidFill>
              <a:schemeClr val="lt1"/>
            </a:solidFill>
          </a:ln>
          <a:effectLst/>
        </c:spPr>
        <c:marker>
          <c:symbol val="none"/>
        </c:marker>
      </c:pivotFmt>
      <c:pivotFmt>
        <c:idx val="3"/>
        <c:spPr>
          <a:solidFill>
            <a:schemeClr val="accent1"/>
          </a:solidFill>
          <a:ln w="19050">
            <a:solidFill>
              <a:schemeClr val="lt1"/>
            </a:solidFill>
          </a:ln>
          <a:effectLst>
            <a:glow rad="101600">
              <a:schemeClr val="accent2">
                <a:satMod val="175000"/>
                <a:alpha val="40000"/>
              </a:schemeClr>
            </a:glow>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pivotFmt>
      <c:pivotFmt>
        <c:idx val="10"/>
        <c:spPr>
          <a:solidFill>
            <a:schemeClr val="accent1"/>
          </a:solidFill>
          <a:ln w="19050">
            <a:solidFill>
              <a:schemeClr val="lt1"/>
            </a:solidFill>
          </a:ln>
          <a:effectLst>
            <a:glow rad="101600">
              <a:schemeClr val="accent2">
                <a:satMod val="175000"/>
                <a:alpha val="40000"/>
              </a:schemeClr>
            </a:glow>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barChart>
        <c:barDir val="col"/>
        <c:grouping val="stacked"/>
        <c:varyColors val="0"/>
        <c:ser>
          <c:idx val="0"/>
          <c:order val="0"/>
          <c:tx>
            <c:strRef>
              <c:f>'party perfomance'!$B$3</c:f>
              <c:strCache>
                <c:ptCount val="1"/>
                <c:pt idx="0">
                  <c:v>Total</c:v>
                </c:pt>
              </c:strCache>
            </c:strRef>
          </c:tx>
          <c:spPr>
            <a:solidFill>
              <a:schemeClr val="accent1"/>
            </a:solidFill>
            <a:ln w="19050">
              <a:solidFill>
                <a:schemeClr val="lt1"/>
              </a:solidFill>
            </a:ln>
            <a:effectLst/>
          </c:spPr>
          <c:invertIfNegative val="0"/>
          <c:dPt>
            <c:idx val="0"/>
            <c:invertIfNegative val="0"/>
            <c:bubble3D val="0"/>
            <c:spPr>
              <a:solidFill>
                <a:schemeClr val="accent1"/>
              </a:solidFill>
              <a:ln w="19050">
                <a:solidFill>
                  <a:schemeClr val="lt1"/>
                </a:solidFill>
              </a:ln>
              <a:effectLst>
                <a:glow rad="101600">
                  <a:schemeClr val="accent2">
                    <a:satMod val="175000"/>
                    <a:alpha val="40000"/>
                  </a:schemeClr>
                </a:glow>
              </a:effectLst>
            </c:spPr>
          </c:dPt>
          <c:dPt>
            <c:idx val="1"/>
            <c:invertIfNegative val="0"/>
            <c:bubble3D val="0"/>
            <c:spPr>
              <a:solidFill>
                <a:schemeClr val="accent1"/>
              </a:solidFill>
              <a:ln w="19050">
                <a:solidFill>
                  <a:schemeClr val="lt1"/>
                </a:solidFill>
              </a:ln>
              <a:effectLst/>
            </c:spPr>
          </c:dPt>
          <c:dPt>
            <c:idx val="2"/>
            <c:invertIfNegative val="0"/>
            <c:bubble3D val="0"/>
            <c:spPr>
              <a:solidFill>
                <a:schemeClr val="accent1"/>
              </a:solidFill>
              <a:ln w="19050">
                <a:solidFill>
                  <a:schemeClr val="lt1"/>
                </a:solidFill>
              </a:ln>
              <a:effectLst/>
            </c:spPr>
          </c:dPt>
          <c:dPt>
            <c:idx val="3"/>
            <c:invertIfNegative val="0"/>
            <c:bubble3D val="0"/>
            <c:spPr>
              <a:solidFill>
                <a:schemeClr val="accent1"/>
              </a:solidFill>
              <a:ln w="19050">
                <a:solidFill>
                  <a:schemeClr val="lt1"/>
                </a:solidFill>
              </a:ln>
              <a:effectLst/>
            </c:spPr>
          </c:dPt>
          <c:dPt>
            <c:idx val="4"/>
            <c:invertIfNegative val="0"/>
            <c:bubble3D val="0"/>
            <c:spPr>
              <a:solidFill>
                <a:schemeClr val="accent1"/>
              </a:solidFill>
              <a:ln w="19050">
                <a:solidFill>
                  <a:schemeClr val="lt1"/>
                </a:solidFill>
              </a:ln>
              <a:effectLst/>
            </c:spPr>
          </c:dPt>
          <c:dPt>
            <c:idx val="5"/>
            <c:invertIfNegative val="0"/>
            <c:bubble3D val="0"/>
            <c:spPr>
              <a:solidFill>
                <a:schemeClr val="accent1"/>
              </a:solidFill>
              <a:ln w="19050">
                <a:solidFill>
                  <a:schemeClr val="lt1"/>
                </a:solidFill>
              </a:ln>
              <a:effectLst/>
            </c:spPr>
          </c:dPt>
          <c:cat>
            <c:strRef>
              <c:f>'party perfomance'!$A$4:$A$10</c:f>
              <c:strCache>
                <c:ptCount val="6"/>
                <c:pt idx="0">
                  <c:v>AAAP</c:v>
                </c:pt>
                <c:pt idx="1">
                  <c:v>BJP</c:v>
                </c:pt>
                <c:pt idx="2">
                  <c:v>BSP</c:v>
                </c:pt>
                <c:pt idx="3">
                  <c:v>INC</c:v>
                </c:pt>
                <c:pt idx="4">
                  <c:v>IND</c:v>
                </c:pt>
                <c:pt idx="5">
                  <c:v>SAD</c:v>
                </c:pt>
              </c:strCache>
            </c:strRef>
          </c:cat>
          <c:val>
            <c:numRef>
              <c:f>'party perfomance'!$B$4:$B$10</c:f>
              <c:numCache>
                <c:formatCode>General</c:formatCode>
                <c:ptCount val="6"/>
                <c:pt idx="0">
                  <c:v>92</c:v>
                </c:pt>
                <c:pt idx="1">
                  <c:v>2</c:v>
                </c:pt>
                <c:pt idx="2">
                  <c:v>1</c:v>
                </c:pt>
                <c:pt idx="3">
                  <c:v>18</c:v>
                </c:pt>
                <c:pt idx="4">
                  <c:v>1</c:v>
                </c:pt>
                <c:pt idx="5">
                  <c:v>3</c:v>
                </c:pt>
              </c:numCache>
            </c:numRef>
          </c:val>
        </c:ser>
        <c:dLbls>
          <c:showLegendKey val="0"/>
          <c:showVal val="0"/>
          <c:showCatName val="0"/>
          <c:showSerName val="0"/>
          <c:showPercent val="0"/>
          <c:showBubbleSize val="0"/>
        </c:dLbls>
        <c:gapWidth val="100"/>
        <c:overlap val="100"/>
        <c:axId val="1066551296"/>
        <c:axId val="1066546944"/>
      </c:barChart>
      <c:valAx>
        <c:axId val="10665469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51296"/>
        <c:crossBetween val="between"/>
      </c:valAx>
      <c:catAx>
        <c:axId val="106655129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46944"/>
        <c:auto val="1"/>
        <c:lblAlgn val="ctr"/>
        <c:lblOffset val="100"/>
        <c:noMultiLvlLbl val="0"/>
      </c:catAx>
      <c:spPr>
        <a:noFill/>
        <a:ln>
          <a:noFill/>
        </a:ln>
        <a:effectLst/>
      </c:spPr>
    </c:plotArea>
    <c:legend>
      <c:legendPos val="r"/>
      <c:layout/>
      <c:overlay val="0"/>
      <c:spPr>
        <a:solidFill>
          <a:schemeClr val="bg1">
            <a:lumMod val="95000"/>
          </a:schemeClr>
        </a:solid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(3).xlsx]Distric-wise anylises!PivotTable7</c:name>
    <c:fmtId val="8"/>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cked"/>
        <c:varyColors val="0"/>
        <c:ser>
          <c:idx val="0"/>
          <c:order val="0"/>
          <c:tx>
            <c:strRef>
              <c:f>'Distric-wise anylises'!$B$3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'Distric-wise anylises'!$A$4:$A$27</c:f>
              <c:strCache>
                <c:ptCount val="23"/>
                <c:pt idx="0">
                  <c:v>Amritsar</c:v>
                </c:pt>
                <c:pt idx="1">
                  <c:v>Barnala</c:v>
                </c:pt>
                <c:pt idx="2">
                  <c:v>Bathinda</c:v>
                </c:pt>
                <c:pt idx="3">
                  <c:v>Faridkot</c:v>
                </c:pt>
                <c:pt idx="4">
                  <c:v>Fatehgarh Sahib</c:v>
                </c:pt>
                <c:pt idx="5">
                  <c:v>Fazilka</c:v>
                </c:pt>
                <c:pt idx="6">
                  <c:v>Ferozpur</c:v>
                </c:pt>
                <c:pt idx="7">
                  <c:v>Gurdaspur</c:v>
                </c:pt>
                <c:pt idx="8">
                  <c:v>Hoshiarpur</c:v>
                </c:pt>
                <c:pt idx="9">
                  <c:v>Jalandhar</c:v>
                </c:pt>
                <c:pt idx="10">
                  <c:v>Kapurthala</c:v>
                </c:pt>
                <c:pt idx="11">
                  <c:v>Ludhiana</c:v>
                </c:pt>
                <c:pt idx="12">
                  <c:v>Malerkotla</c:v>
                </c:pt>
                <c:pt idx="13">
                  <c:v>Mansa</c:v>
                </c:pt>
                <c:pt idx="14">
                  <c:v>Moga</c:v>
                </c:pt>
                <c:pt idx="15">
                  <c:v>Pathankot</c:v>
                </c:pt>
                <c:pt idx="16">
                  <c:v>Patiala</c:v>
                </c:pt>
                <c:pt idx="17">
                  <c:v>Rupnagar</c:v>
                </c:pt>
                <c:pt idx="18">
                  <c:v>S.A.S. Nagar</c:v>
                </c:pt>
                <c:pt idx="19">
                  <c:v>S.B.S. Nagar</c:v>
                </c:pt>
                <c:pt idx="20">
                  <c:v>Sangrur</c:v>
                </c:pt>
                <c:pt idx="21">
                  <c:v>Sri Muktsar Sahib</c:v>
                </c:pt>
                <c:pt idx="22">
                  <c:v>Taran Taran</c:v>
                </c:pt>
              </c:strCache>
            </c:strRef>
          </c:cat>
          <c:val>
            <c:numRef>
              <c:f>'Distric-wise anylises'!$B$4:$B$27</c:f>
              <c:numCache>
                <c:formatCode>General</c:formatCode>
                <c:ptCount val="23"/>
                <c:pt idx="0">
                  <c:v>579746</c:v>
                </c:pt>
                <c:pt idx="1">
                  <c:v>241391</c:v>
                </c:pt>
                <c:pt idx="2">
                  <c:v>402725</c:v>
                </c:pt>
                <c:pt idx="3">
                  <c:v>193632</c:v>
                </c:pt>
                <c:pt idx="4">
                  <c:v>106710</c:v>
                </c:pt>
                <c:pt idx="5">
                  <c:v>256113</c:v>
                </c:pt>
                <c:pt idx="6">
                  <c:v>261336</c:v>
                </c:pt>
                <c:pt idx="7">
                  <c:v>406299</c:v>
                </c:pt>
                <c:pt idx="8">
                  <c:v>298558</c:v>
                </c:pt>
                <c:pt idx="9">
                  <c:v>462508</c:v>
                </c:pt>
                <c:pt idx="10">
                  <c:v>221274</c:v>
                </c:pt>
                <c:pt idx="11">
                  <c:v>822065</c:v>
                </c:pt>
                <c:pt idx="12">
                  <c:v>118514</c:v>
                </c:pt>
                <c:pt idx="13">
                  <c:v>229218</c:v>
                </c:pt>
                <c:pt idx="14">
                  <c:v>257342</c:v>
                </c:pt>
                <c:pt idx="15">
                  <c:v>147839</c:v>
                </c:pt>
                <c:pt idx="16">
                  <c:v>592706</c:v>
                </c:pt>
                <c:pt idx="17">
                  <c:v>146578</c:v>
                </c:pt>
                <c:pt idx="18">
                  <c:v>168519</c:v>
                </c:pt>
                <c:pt idx="19">
                  <c:v>121414</c:v>
                </c:pt>
                <c:pt idx="20">
                  <c:v>334628</c:v>
                </c:pt>
                <c:pt idx="21">
                  <c:v>263429</c:v>
                </c:pt>
                <c:pt idx="22">
                  <c:v>189293</c:v>
                </c:pt>
              </c:numCache>
            </c:numRef>
          </c:val>
          <c:smooth val="0"/>
        </c:ser>
        <c:dLbls>
          <c:showLegendKey val="0"/>
          <c:showVal val="0"/>
          <c:showCatName val="0"/>
          <c:showSerName val="0"/>
          <c:showPercent val="0"/>
          <c:showBubbleSize val="0"/>
        </c:dLbls>
        <c:marker val="1"/>
        <c:smooth val="0"/>
        <c:axId val="888147984"/>
        <c:axId val="888144720"/>
      </c:lineChart>
      <c:catAx>
        <c:axId val="888147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44720"/>
        <c:crosses val="autoZero"/>
        <c:auto val="1"/>
        <c:lblAlgn val="ctr"/>
        <c:lblOffset val="100"/>
        <c:noMultiLvlLbl val="0"/>
      </c:catAx>
      <c:valAx>
        <c:axId val="888144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88147984"/>
        <c:crosses val="autoZero"/>
        <c:crossBetween val="between"/>
      </c:valA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path path="circle">
            <a:fillToRect r="100000" b="100000"/>
          </a:path>
          <a:tileRect l="-100000" t="-100000"/>
        </a:grad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(3).xlsx]region-wise result!PivotTable6</c:name>
    <c:fmtId val="29"/>
  </c:pivotSource>
  <c:chart>
    <c:title>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solidFill>
          <a:ln>
            <a:noFill/>
          </a:ln>
          <a:effectLst/>
          <a:sp3d/>
        </c:spPr>
        <c:marker>
          <c:symbol val="none"/>
        </c:marker>
      </c:pivotFmt>
      <c:pivotFmt>
        <c:idx val="1"/>
        <c:spPr>
          <a:solidFill>
            <a:srgbClr val="FFC000"/>
          </a:solidFill>
          <a:ln>
            <a:noFill/>
          </a:ln>
          <a:effectLst/>
          <a:sp3d/>
        </c:spPr>
        <c:marker>
          <c:symbol val="none"/>
        </c:marker>
      </c:pivotFmt>
      <c:pivotFmt>
        <c:idx val="2"/>
        <c:spPr>
          <a:solidFill>
            <a:srgbClr val="FFC000"/>
          </a:solidFill>
          <a:ln>
            <a:noFill/>
          </a:ln>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'region-wise result'!$B$3</c:f>
              <c:strCache>
                <c:ptCount val="1"/>
                <c:pt idx="0">
                  <c:v>Total</c:v>
                </c:pt>
              </c:strCache>
            </c:strRef>
          </c:tx>
          <c:spPr>
            <a:solidFill>
              <a:srgbClr val="FFC000"/>
            </a:solidFill>
            <a:ln>
              <a:noFill/>
            </a:ln>
            <a:effectLst/>
            <a:sp3d/>
          </c:spPr>
          <c:invertIfNegative val="0"/>
          <c:cat>
            <c:strRef>
              <c:f>'region-wise result'!$A$4:$A$7</c:f>
              <c:strCache>
                <c:ptCount val="3"/>
                <c:pt idx="0">
                  <c:v>Doaba</c:v>
                </c:pt>
                <c:pt idx="1">
                  <c:v>Majha</c:v>
                </c:pt>
                <c:pt idx="2">
                  <c:v>Malwa</c:v>
                </c:pt>
              </c:strCache>
            </c:strRef>
          </c:cat>
          <c:val>
            <c:numRef>
              <c:f>'region-wise result'!$B$4:$B$7</c:f>
              <c:numCache>
                <c:formatCode>General</c:formatCode>
                <c:ptCount val="3"/>
                <c:pt idx="0">
                  <c:v>1103754</c:v>
                </c:pt>
                <c:pt idx="1">
                  <c:v>1323177</c:v>
                </c:pt>
                <c:pt idx="2">
                  <c:v>4394906</c:v>
                </c:pt>
              </c:numCache>
            </c:numRef>
          </c:val>
        </c:ser>
        <c:dLbls>
          <c:showLegendKey val="0"/>
          <c:showVal val="0"/>
          <c:showCatName val="0"/>
          <c:showSerName val="0"/>
          <c:showPercent val="0"/>
          <c:showBubbleSize val="0"/>
        </c:dLbls>
        <c:gapWidth val="150"/>
        <c:shape val="box"/>
        <c:axId val="1066549664"/>
        <c:axId val="1066550752"/>
        <c:axId val="0"/>
      </c:bar3DChart>
      <c:catAx>
        <c:axId val="106654966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50752"/>
        <c:crosses val="autoZero"/>
        <c:auto val="1"/>
        <c:lblAlgn val="ctr"/>
        <c:lblOffset val="100"/>
        <c:noMultiLvlLbl val="0"/>
      </c:catAx>
      <c:valAx>
        <c:axId val="10665507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6549664"/>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8972222222222224"/>
          <c:y val="3.3313143549364042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c:spPr>
        <c:marker>
          <c:symbol val="none"/>
        </c:marker>
      </c:pivotFmt>
      <c:pivotFmt>
        <c:idx val="1"/>
        <c:spPr>
          <a:solidFill>
            <a:srgbClr val="FF0000"/>
          </a:solidFill>
          <a:ln>
            <a:noFill/>
          </a:ln>
          <a:effectLst/>
        </c:spPr>
        <c:marker>
          <c:symbol val="none"/>
        </c:marker>
      </c:pivotFmt>
      <c:pivotFmt>
        <c:idx val="2"/>
        <c:spPr>
          <a:solidFill>
            <a:srgbClr val="FF0000"/>
          </a:solidFill>
          <a:ln>
            <a:noFill/>
          </a:ln>
          <a:effectLst/>
        </c:spPr>
        <c:marker>
          <c:symbol val="none"/>
        </c:marker>
      </c:pivotFmt>
    </c:pivotFmts>
    <c:plotArea>
      <c:layout>
        <c:manualLayout>
          <c:layoutTarget val="inner"/>
          <c:xMode val="edge"/>
          <c:yMode val="edge"/>
          <c:x val="0.12294556546525053"/>
          <c:y val="0.29122952303375871"/>
          <c:w val="0.76310192475940508"/>
          <c:h val="0.5733020391681809"/>
        </c:manualLayout>
      </c:layout>
      <c:areaChart>
        <c:grouping val="stacked"/>
        <c:varyColors val="0"/>
        <c:ser>
          <c:idx val="0"/>
          <c:order val="0"/>
          <c:tx>
            <c:v>Total</c:v>
          </c:tx>
          <c:spPr>
            <a:solidFill>
              <a:srgbClr val="FF0000"/>
            </a:solidFill>
            <a:ln>
              <a:noFill/>
            </a:ln>
            <a:effectLst/>
          </c:spPr>
          <c:cat>
            <c:strLit>
              <c:ptCount val="2"/>
              <c:pt idx="0">
                <c:v>F</c:v>
              </c:pt>
              <c:pt idx="1">
                <c:v>M</c:v>
              </c:pt>
            </c:strLit>
          </c:cat>
          <c:val>
            <c:numLit>
              <c:formatCode>General</c:formatCode>
              <c:ptCount val="2"/>
              <c:pt idx="0">
                <c:v>13</c:v>
              </c:pt>
              <c:pt idx="1">
                <c:v>104</c:v>
              </c:pt>
            </c:numLit>
          </c:val>
        </c:ser>
        <c:dLbls>
          <c:showLegendKey val="0"/>
          <c:showVal val="0"/>
          <c:showCatName val="0"/>
          <c:showSerName val="0"/>
          <c:showPercent val="0"/>
          <c:showBubbleSize val="0"/>
        </c:dLbls>
        <c:axId val="1103156672"/>
        <c:axId val="1103157216"/>
      </c:areaChart>
      <c:catAx>
        <c:axId val="110315667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57216"/>
        <c:crosses val="autoZero"/>
        <c:auto val="1"/>
        <c:lblAlgn val="ctr"/>
        <c:lblOffset val="100"/>
        <c:noMultiLvlLbl val="0"/>
      </c:catAx>
      <c:valAx>
        <c:axId val="11031572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156672"/>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[Punjab_2022_Election_Analysis_By_SHIVANSHU TIWARI (3).xlsx]Margin Analysies!PivotTable9</c:name>
    <c:fmtId val="7"/>
  </c:pivotSource>
  <c:chart>
    <c:title>
      <c:layout/>
      <c:overlay val="0"/>
      <c:spPr>
        <a:noFill/>
        <a:ln>
          <a:noFill/>
        </a:ln>
        <a:effectLst/>
      </c:spPr>
      <c:txPr>
        <a:bodyPr rot="0" spcFirstLastPara="1" vertOverflow="ellipsis" vert="horz" wrap="square" anchor="ctr" anchorCtr="1"/>
        <a:lstStyle/>
        <a:p>
          <a:pPr>
            <a:defRPr sz="144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
        <c:idx val="74"/>
        <c:spPr>
          <a:solidFill>
            <a:schemeClr val="accent1"/>
          </a:solidFill>
          <a:ln w="19050">
            <a:solidFill>
              <a:schemeClr val="lt1"/>
            </a:solidFill>
          </a:ln>
          <a:effectLst/>
        </c:spPr>
      </c:pivotFmt>
      <c:pivotFmt>
        <c:idx val="75"/>
        <c:spPr>
          <a:solidFill>
            <a:schemeClr val="accent1"/>
          </a:solidFill>
          <a:ln w="19050">
            <a:solidFill>
              <a:schemeClr val="lt1"/>
            </a:solidFill>
          </a:ln>
          <a:effectLst/>
        </c:spPr>
      </c:pivotFmt>
      <c:pivotFmt>
        <c:idx val="76"/>
        <c:spPr>
          <a:solidFill>
            <a:schemeClr val="accent1"/>
          </a:solidFill>
          <a:ln w="19050">
            <a:solidFill>
              <a:schemeClr val="lt1"/>
            </a:solidFill>
          </a:ln>
          <a:effectLst/>
        </c:spPr>
      </c:pivotFmt>
      <c:pivotFmt>
        <c:idx val="77"/>
        <c:spPr>
          <a:solidFill>
            <a:schemeClr val="accent1"/>
          </a:solidFill>
          <a:ln w="19050">
            <a:solidFill>
              <a:schemeClr val="lt1"/>
            </a:solidFill>
          </a:ln>
          <a:effectLst/>
        </c:spPr>
      </c:pivotFmt>
      <c:pivotFmt>
        <c:idx val="78"/>
        <c:spPr>
          <a:solidFill>
            <a:schemeClr val="accent1"/>
          </a:solidFill>
          <a:ln w="19050">
            <a:solidFill>
              <a:schemeClr val="lt1"/>
            </a:solidFill>
          </a:ln>
          <a:effectLst/>
        </c:spPr>
      </c:pivotFmt>
      <c:pivotFmt>
        <c:idx val="79"/>
        <c:spPr>
          <a:solidFill>
            <a:schemeClr val="accent1"/>
          </a:solidFill>
          <a:ln w="19050">
            <a:solidFill>
              <a:schemeClr val="lt1"/>
            </a:solidFill>
          </a:ln>
          <a:effectLst/>
        </c:spPr>
      </c:pivotFmt>
      <c:pivotFmt>
        <c:idx val="80"/>
        <c:spPr>
          <a:solidFill>
            <a:schemeClr val="accent1"/>
          </a:solidFill>
          <a:ln w="19050">
            <a:solidFill>
              <a:schemeClr val="lt1"/>
            </a:solidFill>
          </a:ln>
          <a:effectLst/>
        </c:spPr>
      </c:pivotFmt>
      <c:pivotFmt>
        <c:idx val="81"/>
        <c:spPr>
          <a:solidFill>
            <a:schemeClr val="accent1"/>
          </a:solidFill>
          <a:ln w="19050">
            <a:solidFill>
              <a:schemeClr val="lt1"/>
            </a:solidFill>
          </a:ln>
          <a:effectLst/>
        </c:spPr>
      </c:pivotFmt>
      <c:pivotFmt>
        <c:idx val="82"/>
        <c:spPr>
          <a:solidFill>
            <a:schemeClr val="accent1"/>
          </a:solidFill>
          <a:ln w="19050">
            <a:solidFill>
              <a:schemeClr val="lt1"/>
            </a:solidFill>
          </a:ln>
          <a:effectLst/>
        </c:spPr>
      </c:pivotFmt>
      <c:pivotFmt>
        <c:idx val="83"/>
        <c:spPr>
          <a:solidFill>
            <a:schemeClr val="accent1"/>
          </a:solidFill>
          <a:ln w="19050">
            <a:solidFill>
              <a:schemeClr val="lt1"/>
            </a:solidFill>
          </a:ln>
          <a:effectLst/>
        </c:spPr>
      </c:pivotFmt>
      <c:pivotFmt>
        <c:idx val="84"/>
        <c:spPr>
          <a:solidFill>
            <a:schemeClr val="accent1"/>
          </a:solidFill>
          <a:ln w="19050">
            <a:solidFill>
              <a:schemeClr val="lt1"/>
            </a:solidFill>
          </a:ln>
          <a:effectLst/>
        </c:spPr>
      </c:pivotFmt>
      <c:pivotFmt>
        <c:idx val="85"/>
        <c:spPr>
          <a:solidFill>
            <a:schemeClr val="accent1"/>
          </a:solidFill>
          <a:ln w="19050">
            <a:solidFill>
              <a:schemeClr val="lt1"/>
            </a:solidFill>
          </a:ln>
          <a:effectLst/>
        </c:spPr>
      </c:pivotFmt>
      <c:pivotFmt>
        <c:idx val="86"/>
        <c:spPr>
          <a:solidFill>
            <a:schemeClr val="accent1"/>
          </a:solidFill>
          <a:ln w="19050">
            <a:solidFill>
              <a:schemeClr val="lt1"/>
            </a:solidFill>
          </a:ln>
          <a:effectLst/>
        </c:spPr>
      </c:pivotFmt>
      <c:pivotFmt>
        <c:idx val="87"/>
        <c:spPr>
          <a:solidFill>
            <a:schemeClr val="accent1"/>
          </a:solidFill>
          <a:ln w="19050">
            <a:solidFill>
              <a:schemeClr val="lt1"/>
            </a:solidFill>
          </a:ln>
          <a:effectLst/>
        </c:spPr>
      </c:pivotFmt>
      <c:pivotFmt>
        <c:idx val="88"/>
        <c:spPr>
          <a:solidFill>
            <a:schemeClr val="accent1"/>
          </a:solidFill>
          <a:ln w="19050">
            <a:solidFill>
              <a:schemeClr val="lt1"/>
            </a:solidFill>
          </a:ln>
          <a:effectLst/>
        </c:spPr>
      </c:pivotFmt>
      <c:pivotFmt>
        <c:idx val="89"/>
        <c:spPr>
          <a:solidFill>
            <a:schemeClr val="accent1"/>
          </a:solidFill>
          <a:ln w="19050">
            <a:solidFill>
              <a:schemeClr val="lt1"/>
            </a:solidFill>
          </a:ln>
          <a:effectLst/>
        </c:spPr>
      </c:pivotFmt>
      <c:pivotFmt>
        <c:idx val="90"/>
        <c:spPr>
          <a:solidFill>
            <a:schemeClr val="accent1"/>
          </a:solidFill>
          <a:ln w="19050">
            <a:solidFill>
              <a:schemeClr val="lt1"/>
            </a:solidFill>
          </a:ln>
          <a:effectLst/>
        </c:spPr>
      </c:pivotFmt>
      <c:pivotFmt>
        <c:idx val="91"/>
        <c:spPr>
          <a:solidFill>
            <a:schemeClr val="accent1"/>
          </a:solidFill>
          <a:ln w="19050">
            <a:solidFill>
              <a:schemeClr val="lt1"/>
            </a:solidFill>
          </a:ln>
          <a:effectLst/>
        </c:spPr>
      </c:pivotFmt>
      <c:pivotFmt>
        <c:idx val="92"/>
        <c:spPr>
          <a:solidFill>
            <a:schemeClr val="accent1"/>
          </a:solidFill>
          <a:ln w="19050">
            <a:solidFill>
              <a:schemeClr val="lt1"/>
            </a:solidFill>
          </a:ln>
          <a:effectLst/>
        </c:spPr>
      </c:pivotFmt>
      <c:pivotFmt>
        <c:idx val="93"/>
        <c:spPr>
          <a:solidFill>
            <a:schemeClr val="accent1"/>
          </a:solidFill>
          <a:ln w="19050">
            <a:solidFill>
              <a:schemeClr val="lt1"/>
            </a:solidFill>
          </a:ln>
          <a:effectLst/>
        </c:spPr>
      </c:pivotFmt>
      <c:pivotFmt>
        <c:idx val="94"/>
        <c:spPr>
          <a:solidFill>
            <a:schemeClr val="accent1"/>
          </a:solidFill>
          <a:ln w="19050">
            <a:solidFill>
              <a:schemeClr val="lt1"/>
            </a:solidFill>
          </a:ln>
          <a:effectLst/>
        </c:spPr>
      </c:pivotFmt>
      <c:pivotFmt>
        <c:idx val="95"/>
        <c:spPr>
          <a:solidFill>
            <a:schemeClr val="accent1"/>
          </a:solidFill>
          <a:ln w="19050">
            <a:solidFill>
              <a:schemeClr val="lt1"/>
            </a:solidFill>
          </a:ln>
          <a:effectLst/>
        </c:spPr>
      </c:pivotFmt>
      <c:pivotFmt>
        <c:idx val="96"/>
        <c:spPr>
          <a:solidFill>
            <a:schemeClr val="accent1"/>
          </a:solidFill>
          <a:ln w="19050">
            <a:solidFill>
              <a:schemeClr val="lt1"/>
            </a:solidFill>
          </a:ln>
          <a:effectLst/>
        </c:spPr>
      </c:pivotFmt>
      <c:pivotFmt>
        <c:idx val="97"/>
        <c:spPr>
          <a:solidFill>
            <a:schemeClr val="accent1"/>
          </a:solidFill>
          <a:ln w="19050">
            <a:solidFill>
              <a:schemeClr val="lt1"/>
            </a:solidFill>
          </a:ln>
          <a:effectLst/>
        </c:spPr>
      </c:pivotFmt>
      <c:pivotFmt>
        <c:idx val="98"/>
        <c:spPr>
          <a:solidFill>
            <a:schemeClr val="accent1"/>
          </a:solidFill>
          <a:ln w="19050">
            <a:solidFill>
              <a:schemeClr val="lt1"/>
            </a:solidFill>
          </a:ln>
          <a:effectLst/>
        </c:spPr>
      </c:pivotFmt>
      <c:pivotFmt>
        <c:idx val="99"/>
        <c:spPr>
          <a:solidFill>
            <a:schemeClr val="accent1"/>
          </a:solidFill>
          <a:ln w="19050">
            <a:solidFill>
              <a:schemeClr val="lt1"/>
            </a:solidFill>
          </a:ln>
          <a:effectLst/>
        </c:spPr>
      </c:pivotFmt>
      <c:pivotFmt>
        <c:idx val="100"/>
        <c:spPr>
          <a:solidFill>
            <a:schemeClr val="accent1"/>
          </a:solidFill>
          <a:ln w="19050">
            <a:solidFill>
              <a:schemeClr val="lt1"/>
            </a:solidFill>
          </a:ln>
          <a:effectLst/>
        </c:spPr>
      </c:pivotFmt>
      <c:pivotFmt>
        <c:idx val="101"/>
        <c:spPr>
          <a:solidFill>
            <a:schemeClr val="accent1"/>
          </a:solidFill>
          <a:ln w="19050">
            <a:solidFill>
              <a:schemeClr val="lt1"/>
            </a:solidFill>
          </a:ln>
          <a:effectLst/>
        </c:spPr>
      </c:pivotFmt>
      <c:pivotFmt>
        <c:idx val="102"/>
        <c:spPr>
          <a:solidFill>
            <a:schemeClr val="accent1"/>
          </a:solidFill>
          <a:ln w="19050">
            <a:solidFill>
              <a:schemeClr val="lt1"/>
            </a:solidFill>
          </a:ln>
          <a:effectLst/>
        </c:spPr>
      </c:pivotFmt>
      <c:pivotFmt>
        <c:idx val="103"/>
        <c:spPr>
          <a:solidFill>
            <a:schemeClr val="accent1"/>
          </a:solidFill>
          <a:ln w="19050">
            <a:solidFill>
              <a:schemeClr val="lt1"/>
            </a:solidFill>
          </a:ln>
          <a:effectLst/>
        </c:spPr>
      </c:pivotFmt>
      <c:pivotFmt>
        <c:idx val="104"/>
        <c:spPr>
          <a:solidFill>
            <a:schemeClr val="accent1"/>
          </a:solidFill>
          <a:ln w="19050">
            <a:solidFill>
              <a:schemeClr val="lt1"/>
            </a:solidFill>
          </a:ln>
          <a:effectLst/>
        </c:spPr>
      </c:pivotFmt>
      <c:pivotFmt>
        <c:idx val="105"/>
        <c:spPr>
          <a:solidFill>
            <a:schemeClr val="accent1"/>
          </a:solidFill>
          <a:ln w="19050">
            <a:solidFill>
              <a:schemeClr val="lt1"/>
            </a:solidFill>
          </a:ln>
          <a:effectLst/>
        </c:spPr>
      </c:pivotFmt>
      <c:pivotFmt>
        <c:idx val="106"/>
        <c:spPr>
          <a:solidFill>
            <a:schemeClr val="accent1"/>
          </a:solidFill>
          <a:ln w="19050">
            <a:solidFill>
              <a:schemeClr val="lt1"/>
            </a:solidFill>
          </a:ln>
          <a:effectLst/>
        </c:spPr>
      </c:pivotFmt>
      <c:pivotFmt>
        <c:idx val="107"/>
        <c:spPr>
          <a:solidFill>
            <a:schemeClr val="accent1"/>
          </a:solidFill>
          <a:ln w="19050">
            <a:solidFill>
              <a:schemeClr val="lt1"/>
            </a:solidFill>
          </a:ln>
          <a:effectLst/>
        </c:spPr>
      </c:pivotFmt>
      <c:pivotFmt>
        <c:idx val="108"/>
        <c:spPr>
          <a:solidFill>
            <a:schemeClr val="accent1"/>
          </a:solidFill>
          <a:ln w="19050">
            <a:solidFill>
              <a:schemeClr val="lt1"/>
            </a:solidFill>
          </a:ln>
          <a:effectLst/>
        </c:spPr>
      </c:pivotFmt>
      <c:pivotFmt>
        <c:idx val="109"/>
        <c:spPr>
          <a:solidFill>
            <a:schemeClr val="accent1"/>
          </a:solidFill>
          <a:ln w="19050">
            <a:solidFill>
              <a:schemeClr val="lt1"/>
            </a:solidFill>
          </a:ln>
          <a:effectLst/>
        </c:spPr>
      </c:pivotFmt>
      <c:pivotFmt>
        <c:idx val="110"/>
        <c:spPr>
          <a:solidFill>
            <a:schemeClr val="accent1"/>
          </a:solidFill>
          <a:ln w="19050">
            <a:solidFill>
              <a:schemeClr val="lt1"/>
            </a:solidFill>
          </a:ln>
          <a:effectLst/>
        </c:spPr>
      </c:pivotFmt>
      <c:pivotFmt>
        <c:idx val="111"/>
        <c:spPr>
          <a:solidFill>
            <a:schemeClr val="accent1"/>
          </a:solidFill>
          <a:ln w="19050">
            <a:solidFill>
              <a:schemeClr val="lt1"/>
            </a:solidFill>
          </a:ln>
          <a:effectLst/>
        </c:spPr>
      </c:pivotFmt>
      <c:pivotFmt>
        <c:idx val="112"/>
        <c:spPr>
          <a:solidFill>
            <a:schemeClr val="accent1"/>
          </a:solidFill>
          <a:ln w="19050">
            <a:solidFill>
              <a:schemeClr val="lt1"/>
            </a:solidFill>
          </a:ln>
          <a:effectLst/>
        </c:spPr>
      </c:pivotFmt>
      <c:pivotFmt>
        <c:idx val="113"/>
        <c:spPr>
          <a:solidFill>
            <a:schemeClr val="accent1"/>
          </a:solidFill>
          <a:ln w="19050">
            <a:solidFill>
              <a:schemeClr val="lt1"/>
            </a:solidFill>
          </a:ln>
          <a:effectLst/>
        </c:spPr>
      </c:pivotFmt>
      <c:pivotFmt>
        <c:idx val="114"/>
        <c:spPr>
          <a:solidFill>
            <a:schemeClr val="accent1"/>
          </a:solidFill>
          <a:ln w="19050">
            <a:solidFill>
              <a:schemeClr val="lt1"/>
            </a:solidFill>
          </a:ln>
          <a:effectLst/>
        </c:spPr>
      </c:pivotFmt>
      <c:pivotFmt>
        <c:idx val="115"/>
        <c:spPr>
          <a:solidFill>
            <a:schemeClr val="accent1"/>
          </a:solidFill>
          <a:ln w="19050">
            <a:solidFill>
              <a:schemeClr val="lt1"/>
            </a:solidFill>
          </a:ln>
          <a:effectLst/>
        </c:spPr>
      </c:pivotFmt>
      <c:pivotFmt>
        <c:idx val="116"/>
        <c:spPr>
          <a:solidFill>
            <a:schemeClr val="accent1"/>
          </a:solidFill>
          <a:ln w="19050">
            <a:solidFill>
              <a:schemeClr val="lt1"/>
            </a:solidFill>
          </a:ln>
          <a:effectLst/>
        </c:spPr>
      </c:pivotFmt>
      <c:pivotFmt>
        <c:idx val="117"/>
        <c:spPr>
          <a:solidFill>
            <a:schemeClr val="accent1"/>
          </a:solidFill>
          <a:ln w="19050">
            <a:solidFill>
              <a:schemeClr val="lt1"/>
            </a:solidFill>
          </a:ln>
          <a:effectLst/>
        </c:spPr>
      </c:pivotFmt>
      <c:pivotFmt>
        <c:idx val="118"/>
        <c:spPr>
          <a:solidFill>
            <a:schemeClr val="accent1"/>
          </a:solidFill>
          <a:ln w="19050">
            <a:solidFill>
              <a:schemeClr val="lt1"/>
            </a:solidFill>
          </a:ln>
          <a:effectLst/>
        </c:spPr>
      </c:pivotFmt>
      <c:pivotFmt>
        <c:idx val="119"/>
        <c:spPr>
          <a:solidFill>
            <a:schemeClr val="accent1"/>
          </a:solidFill>
          <a:ln w="19050">
            <a:solidFill>
              <a:schemeClr val="lt1"/>
            </a:solidFill>
          </a:ln>
          <a:effectLst/>
        </c:spPr>
        <c:marker>
          <c:symbol val="none"/>
        </c:marker>
      </c:pivotFmt>
      <c:pivotFmt>
        <c:idx val="120"/>
        <c:spPr>
          <a:solidFill>
            <a:schemeClr val="accent1"/>
          </a:solidFill>
          <a:ln w="19050">
            <a:solidFill>
              <a:schemeClr val="lt1"/>
            </a:solidFill>
          </a:ln>
          <a:effectLst/>
        </c:spPr>
      </c:pivotFmt>
      <c:pivotFmt>
        <c:idx val="121"/>
        <c:spPr>
          <a:solidFill>
            <a:schemeClr val="accent1"/>
          </a:solidFill>
          <a:ln w="19050">
            <a:solidFill>
              <a:schemeClr val="lt1"/>
            </a:solidFill>
          </a:ln>
          <a:effectLst/>
        </c:spPr>
      </c:pivotFmt>
      <c:pivotFmt>
        <c:idx val="122"/>
        <c:spPr>
          <a:solidFill>
            <a:schemeClr val="accent1"/>
          </a:solidFill>
          <a:ln w="19050">
            <a:solidFill>
              <a:schemeClr val="lt1"/>
            </a:solidFill>
          </a:ln>
          <a:effectLst/>
        </c:spPr>
      </c:pivotFmt>
      <c:pivotFmt>
        <c:idx val="123"/>
        <c:spPr>
          <a:solidFill>
            <a:schemeClr val="accent1"/>
          </a:solidFill>
          <a:ln w="19050">
            <a:solidFill>
              <a:schemeClr val="lt1"/>
            </a:solidFill>
          </a:ln>
          <a:effectLst/>
        </c:spPr>
      </c:pivotFmt>
      <c:pivotFmt>
        <c:idx val="124"/>
        <c:spPr>
          <a:solidFill>
            <a:schemeClr val="accent1"/>
          </a:solidFill>
          <a:ln w="19050">
            <a:solidFill>
              <a:schemeClr val="lt1"/>
            </a:solidFill>
          </a:ln>
          <a:effectLst/>
        </c:spPr>
      </c:pivotFmt>
      <c:pivotFmt>
        <c:idx val="125"/>
        <c:spPr>
          <a:solidFill>
            <a:schemeClr val="accent1"/>
          </a:solidFill>
          <a:ln w="19050">
            <a:solidFill>
              <a:schemeClr val="lt1"/>
            </a:solidFill>
          </a:ln>
          <a:effectLst/>
        </c:spPr>
      </c:pivotFmt>
      <c:pivotFmt>
        <c:idx val="126"/>
        <c:spPr>
          <a:solidFill>
            <a:schemeClr val="accent1"/>
          </a:solidFill>
          <a:ln w="19050">
            <a:solidFill>
              <a:schemeClr val="lt1"/>
            </a:solidFill>
          </a:ln>
          <a:effectLst/>
        </c:spPr>
      </c:pivotFmt>
      <c:pivotFmt>
        <c:idx val="127"/>
        <c:spPr>
          <a:solidFill>
            <a:schemeClr val="accent1"/>
          </a:solidFill>
          <a:ln w="19050">
            <a:solidFill>
              <a:schemeClr val="lt1"/>
            </a:solidFill>
          </a:ln>
          <a:effectLst/>
        </c:spPr>
      </c:pivotFmt>
      <c:pivotFmt>
        <c:idx val="128"/>
        <c:spPr>
          <a:solidFill>
            <a:schemeClr val="accent1"/>
          </a:solidFill>
          <a:ln w="19050">
            <a:solidFill>
              <a:schemeClr val="lt1"/>
            </a:solidFill>
          </a:ln>
          <a:effectLst/>
        </c:spPr>
      </c:pivotFmt>
      <c:pivotFmt>
        <c:idx val="129"/>
        <c:spPr>
          <a:solidFill>
            <a:schemeClr val="accent1"/>
          </a:solidFill>
          <a:ln w="19050">
            <a:solidFill>
              <a:schemeClr val="lt1"/>
            </a:solidFill>
          </a:ln>
          <a:effectLst/>
        </c:spPr>
      </c:pivotFmt>
      <c:pivotFmt>
        <c:idx val="130"/>
        <c:spPr>
          <a:solidFill>
            <a:schemeClr val="accent1"/>
          </a:solidFill>
          <a:ln w="19050">
            <a:solidFill>
              <a:schemeClr val="lt1"/>
            </a:solidFill>
          </a:ln>
          <a:effectLst/>
        </c:spPr>
      </c:pivotFmt>
      <c:pivotFmt>
        <c:idx val="131"/>
        <c:spPr>
          <a:solidFill>
            <a:schemeClr val="accent1"/>
          </a:solidFill>
          <a:ln w="19050">
            <a:solidFill>
              <a:schemeClr val="lt1"/>
            </a:solidFill>
          </a:ln>
          <a:effectLst/>
        </c:spPr>
      </c:pivotFmt>
      <c:pivotFmt>
        <c:idx val="132"/>
        <c:spPr>
          <a:solidFill>
            <a:schemeClr val="accent1"/>
          </a:solidFill>
          <a:ln w="19050">
            <a:solidFill>
              <a:schemeClr val="lt1"/>
            </a:solidFill>
          </a:ln>
          <a:effectLst/>
        </c:spPr>
      </c:pivotFmt>
      <c:pivotFmt>
        <c:idx val="133"/>
        <c:spPr>
          <a:solidFill>
            <a:schemeClr val="accent1"/>
          </a:solidFill>
          <a:ln w="19050">
            <a:solidFill>
              <a:schemeClr val="lt1"/>
            </a:solidFill>
          </a:ln>
          <a:effectLst/>
        </c:spPr>
      </c:pivotFmt>
      <c:pivotFmt>
        <c:idx val="134"/>
        <c:spPr>
          <a:solidFill>
            <a:schemeClr val="accent1"/>
          </a:solidFill>
          <a:ln w="19050">
            <a:solidFill>
              <a:schemeClr val="lt1"/>
            </a:solidFill>
          </a:ln>
          <a:effectLst/>
        </c:spPr>
      </c:pivotFmt>
      <c:pivotFmt>
        <c:idx val="135"/>
        <c:spPr>
          <a:solidFill>
            <a:schemeClr val="accent1"/>
          </a:solidFill>
          <a:ln w="19050">
            <a:solidFill>
              <a:schemeClr val="lt1"/>
            </a:solidFill>
          </a:ln>
          <a:effectLst/>
        </c:spPr>
      </c:pivotFmt>
      <c:pivotFmt>
        <c:idx val="136"/>
        <c:spPr>
          <a:solidFill>
            <a:schemeClr val="accent1"/>
          </a:solidFill>
          <a:ln w="19050">
            <a:solidFill>
              <a:schemeClr val="lt1"/>
            </a:solidFill>
          </a:ln>
          <a:effectLst/>
        </c:spPr>
      </c:pivotFmt>
      <c:pivotFmt>
        <c:idx val="137"/>
        <c:spPr>
          <a:solidFill>
            <a:schemeClr val="accent1"/>
          </a:solidFill>
          <a:ln w="19050">
            <a:solidFill>
              <a:schemeClr val="lt1"/>
            </a:solidFill>
          </a:ln>
          <a:effectLst/>
        </c:spPr>
      </c:pivotFmt>
      <c:pivotFmt>
        <c:idx val="138"/>
        <c:spPr>
          <a:solidFill>
            <a:schemeClr val="accent1"/>
          </a:solidFill>
          <a:ln w="19050">
            <a:solidFill>
              <a:schemeClr val="lt1"/>
            </a:solidFill>
          </a:ln>
          <a:effectLst/>
        </c:spPr>
      </c:pivotFmt>
      <c:pivotFmt>
        <c:idx val="139"/>
        <c:spPr>
          <a:solidFill>
            <a:schemeClr val="accent1"/>
          </a:solidFill>
          <a:ln w="19050">
            <a:solidFill>
              <a:schemeClr val="lt1"/>
            </a:solidFill>
          </a:ln>
          <a:effectLst/>
        </c:spPr>
      </c:pivotFmt>
      <c:pivotFmt>
        <c:idx val="140"/>
        <c:spPr>
          <a:solidFill>
            <a:schemeClr val="accent1"/>
          </a:solidFill>
          <a:ln w="19050">
            <a:solidFill>
              <a:schemeClr val="lt1"/>
            </a:solidFill>
          </a:ln>
          <a:effectLst/>
        </c:spPr>
      </c:pivotFmt>
      <c:pivotFmt>
        <c:idx val="141"/>
        <c:spPr>
          <a:solidFill>
            <a:schemeClr val="accent1"/>
          </a:solidFill>
          <a:ln w="19050">
            <a:solidFill>
              <a:schemeClr val="lt1"/>
            </a:solidFill>
          </a:ln>
          <a:effectLst/>
        </c:spPr>
      </c:pivotFmt>
      <c:pivotFmt>
        <c:idx val="142"/>
        <c:spPr>
          <a:solidFill>
            <a:schemeClr val="accent1"/>
          </a:solidFill>
          <a:ln w="19050">
            <a:solidFill>
              <a:schemeClr val="lt1"/>
            </a:solidFill>
          </a:ln>
          <a:effectLst/>
        </c:spPr>
      </c:pivotFmt>
      <c:pivotFmt>
        <c:idx val="143"/>
        <c:spPr>
          <a:solidFill>
            <a:schemeClr val="accent1"/>
          </a:solidFill>
          <a:ln w="19050">
            <a:solidFill>
              <a:schemeClr val="lt1"/>
            </a:solidFill>
          </a:ln>
          <a:effectLst/>
        </c:spPr>
      </c:pivotFmt>
      <c:pivotFmt>
        <c:idx val="144"/>
        <c:spPr>
          <a:solidFill>
            <a:schemeClr val="accent1"/>
          </a:solidFill>
          <a:ln w="19050">
            <a:solidFill>
              <a:schemeClr val="lt1"/>
            </a:solidFill>
          </a:ln>
          <a:effectLst/>
        </c:spPr>
      </c:pivotFmt>
      <c:pivotFmt>
        <c:idx val="145"/>
        <c:spPr>
          <a:solidFill>
            <a:schemeClr val="accent1"/>
          </a:solidFill>
          <a:ln w="19050">
            <a:solidFill>
              <a:schemeClr val="lt1"/>
            </a:solidFill>
          </a:ln>
          <a:effectLst/>
        </c:spPr>
      </c:pivotFmt>
      <c:pivotFmt>
        <c:idx val="146"/>
        <c:spPr>
          <a:solidFill>
            <a:schemeClr val="accent1"/>
          </a:solidFill>
          <a:ln w="19050">
            <a:solidFill>
              <a:schemeClr val="lt1"/>
            </a:solidFill>
          </a:ln>
          <a:effectLst/>
        </c:spPr>
      </c:pivotFmt>
      <c:pivotFmt>
        <c:idx val="147"/>
        <c:spPr>
          <a:solidFill>
            <a:schemeClr val="accent1"/>
          </a:solidFill>
          <a:ln w="19050">
            <a:solidFill>
              <a:schemeClr val="lt1"/>
            </a:solidFill>
          </a:ln>
          <a:effectLst/>
        </c:spPr>
      </c:pivotFmt>
      <c:pivotFmt>
        <c:idx val="148"/>
        <c:spPr>
          <a:solidFill>
            <a:schemeClr val="accent1"/>
          </a:solidFill>
          <a:ln w="19050">
            <a:solidFill>
              <a:schemeClr val="lt1"/>
            </a:solidFill>
          </a:ln>
          <a:effectLst/>
        </c:spPr>
      </c:pivotFmt>
      <c:pivotFmt>
        <c:idx val="149"/>
        <c:spPr>
          <a:solidFill>
            <a:schemeClr val="accent1"/>
          </a:solidFill>
          <a:ln w="19050">
            <a:solidFill>
              <a:schemeClr val="lt1"/>
            </a:solidFill>
          </a:ln>
          <a:effectLst/>
        </c:spPr>
      </c:pivotFmt>
      <c:pivotFmt>
        <c:idx val="150"/>
        <c:spPr>
          <a:solidFill>
            <a:schemeClr val="accent1"/>
          </a:solidFill>
          <a:ln w="19050">
            <a:solidFill>
              <a:schemeClr val="lt1"/>
            </a:solidFill>
          </a:ln>
          <a:effectLst/>
        </c:spPr>
      </c:pivotFmt>
      <c:pivotFmt>
        <c:idx val="151"/>
        <c:spPr>
          <a:solidFill>
            <a:schemeClr val="accent1"/>
          </a:solidFill>
          <a:ln w="19050">
            <a:solidFill>
              <a:schemeClr val="lt1"/>
            </a:solidFill>
          </a:ln>
          <a:effectLst/>
        </c:spPr>
      </c:pivotFmt>
      <c:pivotFmt>
        <c:idx val="152"/>
        <c:spPr>
          <a:solidFill>
            <a:schemeClr val="accent1"/>
          </a:solidFill>
          <a:ln w="19050">
            <a:solidFill>
              <a:schemeClr val="lt1"/>
            </a:solidFill>
          </a:ln>
          <a:effectLst/>
        </c:spPr>
      </c:pivotFmt>
      <c:pivotFmt>
        <c:idx val="153"/>
        <c:spPr>
          <a:solidFill>
            <a:schemeClr val="accent1"/>
          </a:solidFill>
          <a:ln w="19050">
            <a:solidFill>
              <a:schemeClr val="lt1"/>
            </a:solidFill>
          </a:ln>
          <a:effectLst/>
        </c:spPr>
      </c:pivotFmt>
      <c:pivotFmt>
        <c:idx val="154"/>
        <c:spPr>
          <a:solidFill>
            <a:schemeClr val="accent1"/>
          </a:solidFill>
          <a:ln w="19050">
            <a:solidFill>
              <a:schemeClr val="lt1"/>
            </a:solidFill>
          </a:ln>
          <a:effectLst/>
        </c:spPr>
      </c:pivotFmt>
      <c:pivotFmt>
        <c:idx val="155"/>
        <c:spPr>
          <a:solidFill>
            <a:schemeClr val="accent1"/>
          </a:solidFill>
          <a:ln w="19050">
            <a:solidFill>
              <a:schemeClr val="lt1"/>
            </a:solidFill>
          </a:ln>
          <a:effectLst/>
        </c:spPr>
      </c:pivotFmt>
      <c:pivotFmt>
        <c:idx val="156"/>
        <c:spPr>
          <a:solidFill>
            <a:schemeClr val="accent1"/>
          </a:solidFill>
          <a:ln w="19050">
            <a:solidFill>
              <a:schemeClr val="lt1"/>
            </a:solidFill>
          </a:ln>
          <a:effectLst/>
        </c:spPr>
      </c:pivotFmt>
      <c:pivotFmt>
        <c:idx val="157"/>
        <c:spPr>
          <a:solidFill>
            <a:schemeClr val="accent1"/>
          </a:solidFill>
          <a:ln w="19050">
            <a:solidFill>
              <a:schemeClr val="lt1"/>
            </a:solidFill>
          </a:ln>
          <a:effectLst/>
        </c:spPr>
      </c:pivotFmt>
      <c:pivotFmt>
        <c:idx val="158"/>
        <c:spPr>
          <a:solidFill>
            <a:schemeClr val="accent1"/>
          </a:solidFill>
          <a:ln w="19050">
            <a:solidFill>
              <a:schemeClr val="lt1"/>
            </a:solidFill>
          </a:ln>
          <a:effectLst/>
        </c:spPr>
      </c:pivotFmt>
      <c:pivotFmt>
        <c:idx val="159"/>
        <c:spPr>
          <a:solidFill>
            <a:schemeClr val="accent1"/>
          </a:solidFill>
          <a:ln w="19050">
            <a:solidFill>
              <a:schemeClr val="lt1"/>
            </a:solidFill>
          </a:ln>
          <a:effectLst/>
        </c:spPr>
      </c:pivotFmt>
      <c:pivotFmt>
        <c:idx val="160"/>
        <c:spPr>
          <a:solidFill>
            <a:schemeClr val="accent1"/>
          </a:solidFill>
          <a:ln w="19050">
            <a:solidFill>
              <a:schemeClr val="lt1"/>
            </a:solidFill>
          </a:ln>
          <a:effectLst/>
        </c:spPr>
      </c:pivotFmt>
      <c:pivotFmt>
        <c:idx val="161"/>
        <c:spPr>
          <a:solidFill>
            <a:schemeClr val="accent1"/>
          </a:solidFill>
          <a:ln w="19050">
            <a:solidFill>
              <a:schemeClr val="lt1"/>
            </a:solidFill>
          </a:ln>
          <a:effectLst/>
        </c:spPr>
      </c:pivotFmt>
      <c:pivotFmt>
        <c:idx val="162"/>
        <c:spPr>
          <a:solidFill>
            <a:schemeClr val="accent1"/>
          </a:solidFill>
          <a:ln w="19050">
            <a:solidFill>
              <a:schemeClr val="lt1"/>
            </a:solidFill>
          </a:ln>
          <a:effectLst/>
        </c:spPr>
      </c:pivotFmt>
      <c:pivotFmt>
        <c:idx val="163"/>
        <c:spPr>
          <a:solidFill>
            <a:schemeClr val="accent1"/>
          </a:solidFill>
          <a:ln w="19050">
            <a:solidFill>
              <a:schemeClr val="lt1"/>
            </a:solidFill>
          </a:ln>
          <a:effectLst/>
        </c:spPr>
      </c:pivotFmt>
      <c:pivotFmt>
        <c:idx val="164"/>
        <c:spPr>
          <a:solidFill>
            <a:schemeClr val="accent1"/>
          </a:solidFill>
          <a:ln w="19050">
            <a:solidFill>
              <a:schemeClr val="lt1"/>
            </a:solidFill>
          </a:ln>
          <a:effectLst/>
        </c:spPr>
      </c:pivotFmt>
      <c:pivotFmt>
        <c:idx val="165"/>
        <c:spPr>
          <a:solidFill>
            <a:schemeClr val="accent1"/>
          </a:solidFill>
          <a:ln w="19050">
            <a:solidFill>
              <a:schemeClr val="lt1"/>
            </a:solidFill>
          </a:ln>
          <a:effectLst/>
        </c:spPr>
      </c:pivotFmt>
      <c:pivotFmt>
        <c:idx val="166"/>
        <c:spPr>
          <a:solidFill>
            <a:schemeClr val="accent1"/>
          </a:solidFill>
          <a:ln w="19050">
            <a:solidFill>
              <a:schemeClr val="lt1"/>
            </a:solidFill>
          </a:ln>
          <a:effectLst/>
        </c:spPr>
      </c:pivotFmt>
      <c:pivotFmt>
        <c:idx val="167"/>
        <c:spPr>
          <a:solidFill>
            <a:schemeClr val="accent1"/>
          </a:solidFill>
          <a:ln w="19050">
            <a:solidFill>
              <a:schemeClr val="lt1"/>
            </a:solidFill>
          </a:ln>
          <a:effectLst/>
        </c:spPr>
      </c:pivotFmt>
      <c:pivotFmt>
        <c:idx val="168"/>
        <c:spPr>
          <a:solidFill>
            <a:schemeClr val="accent1"/>
          </a:solidFill>
          <a:ln w="19050">
            <a:solidFill>
              <a:schemeClr val="lt1"/>
            </a:solidFill>
          </a:ln>
          <a:effectLst/>
        </c:spPr>
      </c:pivotFmt>
      <c:pivotFmt>
        <c:idx val="169"/>
        <c:spPr>
          <a:solidFill>
            <a:schemeClr val="accent1"/>
          </a:solidFill>
          <a:ln w="19050">
            <a:solidFill>
              <a:schemeClr val="lt1"/>
            </a:solidFill>
          </a:ln>
          <a:effectLst/>
        </c:spPr>
      </c:pivotFmt>
      <c:pivotFmt>
        <c:idx val="170"/>
        <c:spPr>
          <a:solidFill>
            <a:schemeClr val="accent1"/>
          </a:solidFill>
          <a:ln w="19050">
            <a:solidFill>
              <a:schemeClr val="lt1"/>
            </a:solidFill>
          </a:ln>
          <a:effectLst/>
        </c:spPr>
      </c:pivotFmt>
      <c:pivotFmt>
        <c:idx val="171"/>
        <c:spPr>
          <a:solidFill>
            <a:schemeClr val="accent1"/>
          </a:solidFill>
          <a:ln w="19050">
            <a:solidFill>
              <a:schemeClr val="lt1"/>
            </a:solidFill>
          </a:ln>
          <a:effectLst/>
        </c:spPr>
      </c:pivotFmt>
      <c:pivotFmt>
        <c:idx val="172"/>
        <c:spPr>
          <a:solidFill>
            <a:schemeClr val="accent1"/>
          </a:solidFill>
          <a:ln w="19050">
            <a:solidFill>
              <a:schemeClr val="lt1"/>
            </a:solidFill>
          </a:ln>
          <a:effectLst/>
        </c:spPr>
      </c:pivotFmt>
      <c:pivotFmt>
        <c:idx val="173"/>
        <c:spPr>
          <a:solidFill>
            <a:schemeClr val="accent1"/>
          </a:solidFill>
          <a:ln w="19050">
            <a:solidFill>
              <a:schemeClr val="lt1"/>
            </a:solidFill>
          </a:ln>
          <a:effectLst/>
        </c:spPr>
      </c:pivotFmt>
      <c:pivotFmt>
        <c:idx val="174"/>
        <c:spPr>
          <a:solidFill>
            <a:schemeClr val="accent1"/>
          </a:solidFill>
          <a:ln w="19050">
            <a:solidFill>
              <a:schemeClr val="lt1"/>
            </a:solidFill>
          </a:ln>
          <a:effectLst/>
        </c:spPr>
      </c:pivotFmt>
      <c:pivotFmt>
        <c:idx val="175"/>
        <c:spPr>
          <a:solidFill>
            <a:schemeClr val="accent1"/>
          </a:solidFill>
          <a:ln w="19050">
            <a:solidFill>
              <a:schemeClr val="lt1"/>
            </a:solidFill>
          </a:ln>
          <a:effectLst/>
        </c:spPr>
      </c:pivotFmt>
      <c:pivotFmt>
        <c:idx val="176"/>
        <c:spPr>
          <a:solidFill>
            <a:schemeClr val="accent1"/>
          </a:solidFill>
          <a:ln w="19050">
            <a:solidFill>
              <a:schemeClr val="lt1"/>
            </a:solidFill>
          </a:ln>
          <a:effectLst/>
        </c:spPr>
      </c:pivotFmt>
      <c:pivotFmt>
        <c:idx val="177"/>
        <c:spPr>
          <a:solidFill>
            <a:schemeClr val="accent1"/>
          </a:solidFill>
          <a:ln w="19050">
            <a:solidFill>
              <a:schemeClr val="lt1"/>
            </a:solidFill>
          </a:ln>
          <a:effectLst/>
        </c:spPr>
      </c:pivotFmt>
      <c:pivotFmt>
        <c:idx val="178"/>
        <c:spPr>
          <a:solidFill>
            <a:schemeClr val="accent1"/>
          </a:solidFill>
          <a:ln w="19050">
            <a:solidFill>
              <a:schemeClr val="lt1"/>
            </a:solidFill>
          </a:ln>
          <a:effectLst/>
        </c:spPr>
      </c:pivotFmt>
      <c:pivotFmt>
        <c:idx val="179"/>
        <c:spPr>
          <a:solidFill>
            <a:schemeClr val="accent1"/>
          </a:solidFill>
          <a:ln w="19050">
            <a:solidFill>
              <a:schemeClr val="lt1"/>
            </a:solidFill>
          </a:ln>
          <a:effectLst/>
        </c:spPr>
      </c:pivotFmt>
      <c:pivotFmt>
        <c:idx val="180"/>
        <c:spPr>
          <a:solidFill>
            <a:schemeClr val="accent1"/>
          </a:solidFill>
          <a:ln w="19050">
            <a:solidFill>
              <a:schemeClr val="lt1"/>
            </a:solidFill>
          </a:ln>
          <a:effectLst/>
        </c:spPr>
      </c:pivotFmt>
      <c:pivotFmt>
        <c:idx val="181"/>
        <c:spPr>
          <a:solidFill>
            <a:schemeClr val="accent1"/>
          </a:solidFill>
          <a:ln w="19050">
            <a:solidFill>
              <a:schemeClr val="lt1"/>
            </a:solidFill>
          </a:ln>
          <a:effectLst/>
        </c:spPr>
      </c:pivotFmt>
      <c:pivotFmt>
        <c:idx val="182"/>
        <c:spPr>
          <a:solidFill>
            <a:schemeClr val="accent1"/>
          </a:solidFill>
          <a:ln w="19050">
            <a:solidFill>
              <a:schemeClr val="lt1"/>
            </a:solidFill>
          </a:ln>
          <a:effectLst/>
        </c:spPr>
      </c:pivotFmt>
      <c:pivotFmt>
        <c:idx val="183"/>
        <c:spPr>
          <a:solidFill>
            <a:schemeClr val="accent1"/>
          </a:solidFill>
          <a:ln w="19050">
            <a:solidFill>
              <a:schemeClr val="lt1"/>
            </a:solidFill>
          </a:ln>
          <a:effectLst/>
        </c:spPr>
      </c:pivotFmt>
      <c:pivotFmt>
        <c:idx val="184"/>
        <c:spPr>
          <a:solidFill>
            <a:schemeClr val="accent1"/>
          </a:solidFill>
          <a:ln w="19050">
            <a:solidFill>
              <a:schemeClr val="lt1"/>
            </a:solidFill>
          </a:ln>
          <a:effectLst/>
        </c:spPr>
      </c:pivotFmt>
      <c:pivotFmt>
        <c:idx val="185"/>
        <c:spPr>
          <a:solidFill>
            <a:schemeClr val="accent1"/>
          </a:solidFill>
          <a:ln w="19050">
            <a:solidFill>
              <a:schemeClr val="lt1"/>
            </a:solidFill>
          </a:ln>
          <a:effectLst/>
        </c:spPr>
      </c:pivotFmt>
      <c:pivotFmt>
        <c:idx val="186"/>
        <c:spPr>
          <a:solidFill>
            <a:schemeClr val="accent1"/>
          </a:solidFill>
          <a:ln w="19050">
            <a:solidFill>
              <a:schemeClr val="lt1"/>
            </a:solidFill>
          </a:ln>
          <a:effectLst/>
        </c:spPr>
      </c:pivotFmt>
      <c:pivotFmt>
        <c:idx val="187"/>
        <c:spPr>
          <a:solidFill>
            <a:schemeClr val="accent1"/>
          </a:solidFill>
          <a:ln w="19050">
            <a:solidFill>
              <a:schemeClr val="lt1"/>
            </a:solidFill>
          </a:ln>
          <a:effectLst/>
        </c:spPr>
      </c:pivotFmt>
      <c:pivotFmt>
        <c:idx val="188"/>
        <c:spPr>
          <a:solidFill>
            <a:schemeClr val="accent1"/>
          </a:solidFill>
          <a:ln w="19050">
            <a:solidFill>
              <a:schemeClr val="lt1"/>
            </a:solidFill>
          </a:ln>
          <a:effectLst/>
        </c:spPr>
      </c:pivotFmt>
      <c:pivotFmt>
        <c:idx val="189"/>
        <c:spPr>
          <a:solidFill>
            <a:schemeClr val="accent1"/>
          </a:solidFill>
          <a:ln w="19050">
            <a:solidFill>
              <a:schemeClr val="lt1"/>
            </a:solidFill>
          </a:ln>
          <a:effectLst/>
        </c:spPr>
      </c:pivotFmt>
      <c:pivotFmt>
        <c:idx val="190"/>
        <c:spPr>
          <a:solidFill>
            <a:schemeClr val="accent1"/>
          </a:solidFill>
          <a:ln w="19050">
            <a:solidFill>
              <a:schemeClr val="lt1"/>
            </a:solidFill>
          </a:ln>
          <a:effectLst/>
        </c:spPr>
      </c:pivotFmt>
      <c:pivotFmt>
        <c:idx val="191"/>
        <c:spPr>
          <a:solidFill>
            <a:schemeClr val="accent1"/>
          </a:solidFill>
          <a:ln w="19050">
            <a:solidFill>
              <a:schemeClr val="lt1"/>
            </a:solidFill>
          </a:ln>
          <a:effectLst/>
        </c:spPr>
      </c:pivotFmt>
      <c:pivotFmt>
        <c:idx val="192"/>
        <c:spPr>
          <a:solidFill>
            <a:schemeClr val="accent1"/>
          </a:solidFill>
          <a:ln w="19050">
            <a:solidFill>
              <a:schemeClr val="lt1"/>
            </a:solidFill>
          </a:ln>
          <a:effectLst/>
        </c:spPr>
      </c:pivotFmt>
      <c:pivotFmt>
        <c:idx val="193"/>
        <c:spPr>
          <a:solidFill>
            <a:schemeClr val="accent1"/>
          </a:solidFill>
          <a:ln w="19050">
            <a:solidFill>
              <a:schemeClr val="lt1"/>
            </a:solidFill>
          </a:ln>
          <a:effectLst/>
        </c:spPr>
      </c:pivotFmt>
      <c:pivotFmt>
        <c:idx val="194"/>
        <c:spPr>
          <a:solidFill>
            <a:schemeClr val="accent1"/>
          </a:solidFill>
          <a:ln w="19050">
            <a:solidFill>
              <a:schemeClr val="lt1"/>
            </a:solidFill>
          </a:ln>
          <a:effectLst/>
        </c:spPr>
      </c:pivotFmt>
      <c:pivotFmt>
        <c:idx val="195"/>
        <c:spPr>
          <a:solidFill>
            <a:schemeClr val="accent1"/>
          </a:solidFill>
          <a:ln w="19050">
            <a:solidFill>
              <a:schemeClr val="lt1"/>
            </a:solidFill>
          </a:ln>
          <a:effectLst/>
        </c:spPr>
      </c:pivotFmt>
      <c:pivotFmt>
        <c:idx val="196"/>
        <c:spPr>
          <a:solidFill>
            <a:schemeClr val="accent1"/>
          </a:solidFill>
          <a:ln w="19050">
            <a:solidFill>
              <a:schemeClr val="lt1"/>
            </a:solidFill>
          </a:ln>
          <a:effectLst/>
        </c:spPr>
      </c:pivotFmt>
      <c:pivotFmt>
        <c:idx val="197"/>
        <c:spPr>
          <a:solidFill>
            <a:schemeClr val="accent1"/>
          </a:solidFill>
          <a:ln w="19050">
            <a:solidFill>
              <a:schemeClr val="lt1"/>
            </a:solidFill>
          </a:ln>
          <a:effectLst/>
        </c:spPr>
      </c:pivotFmt>
      <c:pivotFmt>
        <c:idx val="198"/>
        <c:spPr>
          <a:solidFill>
            <a:schemeClr val="accent1"/>
          </a:solidFill>
          <a:ln w="19050">
            <a:solidFill>
              <a:schemeClr val="lt1"/>
            </a:solidFill>
          </a:ln>
          <a:effectLst/>
        </c:spPr>
      </c:pivotFmt>
      <c:pivotFmt>
        <c:idx val="199"/>
        <c:spPr>
          <a:solidFill>
            <a:schemeClr val="accent1"/>
          </a:solidFill>
          <a:ln w="19050">
            <a:solidFill>
              <a:schemeClr val="lt1"/>
            </a:solidFill>
          </a:ln>
          <a:effectLst/>
        </c:spPr>
      </c:pivotFmt>
      <c:pivotFmt>
        <c:idx val="200"/>
        <c:spPr>
          <a:solidFill>
            <a:schemeClr val="accent1"/>
          </a:solidFill>
          <a:ln w="19050">
            <a:solidFill>
              <a:schemeClr val="lt1"/>
            </a:solidFill>
          </a:ln>
          <a:effectLst/>
        </c:spPr>
      </c:pivotFmt>
      <c:pivotFmt>
        <c:idx val="201"/>
        <c:spPr>
          <a:solidFill>
            <a:schemeClr val="accent1"/>
          </a:solidFill>
          <a:ln w="19050">
            <a:solidFill>
              <a:schemeClr val="lt1"/>
            </a:solidFill>
          </a:ln>
          <a:effectLst/>
        </c:spPr>
      </c:pivotFmt>
      <c:pivotFmt>
        <c:idx val="202"/>
        <c:spPr>
          <a:solidFill>
            <a:schemeClr val="accent1"/>
          </a:solidFill>
          <a:ln w="19050">
            <a:solidFill>
              <a:schemeClr val="lt1"/>
            </a:solidFill>
          </a:ln>
          <a:effectLst/>
        </c:spPr>
      </c:pivotFmt>
      <c:pivotFmt>
        <c:idx val="203"/>
        <c:spPr>
          <a:solidFill>
            <a:schemeClr val="accent1"/>
          </a:solidFill>
          <a:ln w="19050">
            <a:solidFill>
              <a:schemeClr val="lt1"/>
            </a:solidFill>
          </a:ln>
          <a:effectLst/>
        </c:spPr>
      </c:pivotFmt>
      <c:pivotFmt>
        <c:idx val="204"/>
        <c:spPr>
          <a:solidFill>
            <a:schemeClr val="accent1"/>
          </a:solidFill>
          <a:ln w="19050">
            <a:solidFill>
              <a:schemeClr val="lt1"/>
            </a:solidFill>
          </a:ln>
          <a:effectLst/>
        </c:spPr>
      </c:pivotFmt>
      <c:pivotFmt>
        <c:idx val="205"/>
        <c:spPr>
          <a:solidFill>
            <a:schemeClr val="accent1"/>
          </a:solidFill>
          <a:ln w="19050">
            <a:solidFill>
              <a:schemeClr val="lt1"/>
            </a:solidFill>
          </a:ln>
          <a:effectLst/>
        </c:spPr>
      </c:pivotFmt>
      <c:pivotFmt>
        <c:idx val="206"/>
        <c:spPr>
          <a:solidFill>
            <a:schemeClr val="accent1"/>
          </a:solidFill>
          <a:ln w="19050">
            <a:solidFill>
              <a:schemeClr val="lt1"/>
            </a:solidFill>
          </a:ln>
          <a:effectLst/>
        </c:spPr>
      </c:pivotFmt>
      <c:pivotFmt>
        <c:idx val="207"/>
        <c:spPr>
          <a:solidFill>
            <a:schemeClr val="accent1"/>
          </a:solidFill>
          <a:ln w="19050">
            <a:solidFill>
              <a:schemeClr val="lt1"/>
            </a:solidFill>
          </a:ln>
          <a:effectLst/>
        </c:spPr>
      </c:pivotFmt>
      <c:pivotFmt>
        <c:idx val="208"/>
        <c:spPr>
          <a:solidFill>
            <a:schemeClr val="accent1"/>
          </a:solidFill>
          <a:ln w="19050">
            <a:solidFill>
              <a:schemeClr val="lt1"/>
            </a:solidFill>
          </a:ln>
          <a:effectLst/>
        </c:spPr>
      </c:pivotFmt>
      <c:pivotFmt>
        <c:idx val="209"/>
        <c:spPr>
          <a:solidFill>
            <a:schemeClr val="accent1"/>
          </a:solidFill>
          <a:ln w="19050">
            <a:solidFill>
              <a:schemeClr val="lt1"/>
            </a:solidFill>
          </a:ln>
          <a:effectLst/>
        </c:spPr>
      </c:pivotFmt>
      <c:pivotFmt>
        <c:idx val="210"/>
        <c:spPr>
          <a:solidFill>
            <a:schemeClr val="accent1"/>
          </a:solidFill>
          <a:ln w="19050">
            <a:solidFill>
              <a:schemeClr val="lt1"/>
            </a:solidFill>
          </a:ln>
          <a:effectLst/>
        </c:spPr>
      </c:pivotFmt>
      <c:pivotFmt>
        <c:idx val="211"/>
        <c:spPr>
          <a:solidFill>
            <a:schemeClr val="accent1"/>
          </a:solidFill>
          <a:ln w="19050">
            <a:solidFill>
              <a:schemeClr val="lt1"/>
            </a:solidFill>
          </a:ln>
          <a:effectLst/>
        </c:spPr>
      </c:pivotFmt>
      <c:pivotFmt>
        <c:idx val="212"/>
        <c:spPr>
          <a:solidFill>
            <a:schemeClr val="accent1"/>
          </a:solidFill>
          <a:ln w="19050">
            <a:solidFill>
              <a:schemeClr val="lt1"/>
            </a:solidFill>
          </a:ln>
          <a:effectLst/>
        </c:spPr>
      </c:pivotFmt>
      <c:pivotFmt>
        <c:idx val="213"/>
        <c:spPr>
          <a:solidFill>
            <a:schemeClr val="accent1"/>
          </a:solidFill>
          <a:ln w="19050">
            <a:solidFill>
              <a:schemeClr val="lt1"/>
            </a:solidFill>
          </a:ln>
          <a:effectLst/>
        </c:spPr>
      </c:pivotFmt>
      <c:pivotFmt>
        <c:idx val="214"/>
        <c:spPr>
          <a:solidFill>
            <a:schemeClr val="accent1"/>
          </a:solidFill>
          <a:ln w="19050">
            <a:solidFill>
              <a:schemeClr val="lt1"/>
            </a:solidFill>
          </a:ln>
          <a:effectLst/>
        </c:spPr>
      </c:pivotFmt>
      <c:pivotFmt>
        <c:idx val="215"/>
        <c:spPr>
          <a:solidFill>
            <a:schemeClr val="accent1"/>
          </a:solidFill>
          <a:ln w="19050">
            <a:solidFill>
              <a:schemeClr val="lt1"/>
            </a:solidFill>
          </a:ln>
          <a:effectLst/>
        </c:spPr>
      </c:pivotFmt>
      <c:pivotFmt>
        <c:idx val="216"/>
        <c:spPr>
          <a:solidFill>
            <a:schemeClr val="accent1"/>
          </a:solidFill>
          <a:ln w="19050">
            <a:solidFill>
              <a:schemeClr val="lt1"/>
            </a:solidFill>
          </a:ln>
          <a:effectLst/>
        </c:spPr>
      </c:pivotFmt>
      <c:pivotFmt>
        <c:idx val="217"/>
        <c:spPr>
          <a:solidFill>
            <a:schemeClr val="accent1"/>
          </a:solidFill>
          <a:ln w="19050">
            <a:solidFill>
              <a:schemeClr val="lt1"/>
            </a:solidFill>
          </a:ln>
          <a:effectLst/>
        </c:spPr>
      </c:pivotFmt>
      <c:pivotFmt>
        <c:idx val="218"/>
        <c:spPr>
          <a:solidFill>
            <a:schemeClr val="accent1"/>
          </a:solidFill>
          <a:ln w="19050">
            <a:solidFill>
              <a:schemeClr val="lt1"/>
            </a:solidFill>
          </a:ln>
          <a:effectLst/>
        </c:spPr>
      </c:pivotFmt>
      <c:pivotFmt>
        <c:idx val="219"/>
        <c:spPr>
          <a:solidFill>
            <a:schemeClr val="accent1"/>
          </a:solidFill>
          <a:ln w="19050">
            <a:solidFill>
              <a:schemeClr val="lt1"/>
            </a:solidFill>
          </a:ln>
          <a:effectLst/>
        </c:spPr>
      </c:pivotFmt>
      <c:pivotFmt>
        <c:idx val="220"/>
        <c:spPr>
          <a:solidFill>
            <a:schemeClr val="accent1"/>
          </a:solidFill>
          <a:ln w="19050">
            <a:solidFill>
              <a:schemeClr val="lt1"/>
            </a:solidFill>
          </a:ln>
          <a:effectLst/>
        </c:spPr>
      </c:pivotFmt>
      <c:pivotFmt>
        <c:idx val="221"/>
        <c:spPr>
          <a:solidFill>
            <a:schemeClr val="accent1"/>
          </a:solidFill>
          <a:ln w="19050">
            <a:solidFill>
              <a:schemeClr val="lt1"/>
            </a:solidFill>
          </a:ln>
          <a:effectLst/>
        </c:spPr>
      </c:pivotFmt>
      <c:pivotFmt>
        <c:idx val="222"/>
        <c:spPr>
          <a:solidFill>
            <a:schemeClr val="accent1"/>
          </a:solidFill>
          <a:ln w="19050">
            <a:solidFill>
              <a:schemeClr val="lt1"/>
            </a:solidFill>
          </a:ln>
          <a:effectLst/>
        </c:spPr>
      </c:pivotFmt>
      <c:pivotFmt>
        <c:idx val="223"/>
        <c:spPr>
          <a:solidFill>
            <a:schemeClr val="accent1"/>
          </a:solidFill>
          <a:ln w="19050">
            <a:solidFill>
              <a:schemeClr val="lt1"/>
            </a:solidFill>
          </a:ln>
          <a:effectLst/>
        </c:spPr>
      </c:pivotFmt>
      <c:pivotFmt>
        <c:idx val="224"/>
        <c:spPr>
          <a:solidFill>
            <a:schemeClr val="accent1"/>
          </a:solidFill>
          <a:ln w="19050">
            <a:solidFill>
              <a:schemeClr val="lt1"/>
            </a:solidFill>
          </a:ln>
          <a:effectLst/>
        </c:spPr>
      </c:pivotFmt>
      <c:pivotFmt>
        <c:idx val="225"/>
        <c:spPr>
          <a:solidFill>
            <a:schemeClr val="accent1"/>
          </a:solidFill>
          <a:ln w="19050">
            <a:solidFill>
              <a:schemeClr val="lt1"/>
            </a:solidFill>
          </a:ln>
          <a:effectLst/>
        </c:spPr>
      </c:pivotFmt>
      <c:pivotFmt>
        <c:idx val="226"/>
        <c:spPr>
          <a:solidFill>
            <a:schemeClr val="accent1"/>
          </a:solidFill>
          <a:ln w="19050">
            <a:solidFill>
              <a:schemeClr val="lt1"/>
            </a:solidFill>
          </a:ln>
          <a:effectLst/>
        </c:spPr>
      </c:pivotFmt>
      <c:pivotFmt>
        <c:idx val="227"/>
        <c:spPr>
          <a:solidFill>
            <a:schemeClr val="accent1"/>
          </a:solidFill>
          <a:ln w="19050">
            <a:solidFill>
              <a:schemeClr val="lt1"/>
            </a:solidFill>
          </a:ln>
          <a:effectLst/>
        </c:spPr>
      </c:pivotFmt>
      <c:pivotFmt>
        <c:idx val="228"/>
        <c:spPr>
          <a:solidFill>
            <a:schemeClr val="accent1"/>
          </a:solidFill>
          <a:ln w="19050">
            <a:solidFill>
              <a:schemeClr val="lt1"/>
            </a:solidFill>
          </a:ln>
          <a:effectLst/>
        </c:spPr>
      </c:pivotFmt>
      <c:pivotFmt>
        <c:idx val="229"/>
        <c:spPr>
          <a:solidFill>
            <a:schemeClr val="accent1"/>
          </a:solidFill>
          <a:ln w="19050">
            <a:solidFill>
              <a:schemeClr val="lt1"/>
            </a:solidFill>
          </a:ln>
          <a:effectLst/>
        </c:spPr>
      </c:pivotFmt>
      <c:pivotFmt>
        <c:idx val="230"/>
        <c:spPr>
          <a:solidFill>
            <a:schemeClr val="accent1"/>
          </a:solidFill>
          <a:ln w="19050">
            <a:solidFill>
              <a:schemeClr val="lt1"/>
            </a:solidFill>
          </a:ln>
          <a:effectLst/>
        </c:spPr>
      </c:pivotFmt>
      <c:pivotFmt>
        <c:idx val="231"/>
        <c:spPr>
          <a:solidFill>
            <a:schemeClr val="accent1"/>
          </a:solidFill>
          <a:ln w="19050">
            <a:solidFill>
              <a:schemeClr val="lt1"/>
            </a:solidFill>
          </a:ln>
          <a:effectLst/>
        </c:spPr>
      </c:pivotFmt>
      <c:pivotFmt>
        <c:idx val="232"/>
        <c:spPr>
          <a:solidFill>
            <a:schemeClr val="accent1"/>
          </a:solidFill>
          <a:ln w="19050">
            <a:solidFill>
              <a:schemeClr val="lt1"/>
            </a:solidFill>
          </a:ln>
          <a:effectLst/>
        </c:spPr>
      </c:pivotFmt>
      <c:pivotFmt>
        <c:idx val="233"/>
        <c:spPr>
          <a:solidFill>
            <a:schemeClr val="accent1"/>
          </a:solidFill>
          <a:ln w="19050">
            <a:solidFill>
              <a:schemeClr val="lt1"/>
            </a:solidFill>
          </a:ln>
          <a:effectLst/>
        </c:spPr>
      </c:pivotFmt>
      <c:pivotFmt>
        <c:idx val="234"/>
        <c:spPr>
          <a:solidFill>
            <a:schemeClr val="accent1"/>
          </a:solidFill>
          <a:ln w="19050">
            <a:solidFill>
              <a:schemeClr val="lt1"/>
            </a:solidFill>
          </a:ln>
          <a:effectLst/>
        </c:spPr>
      </c:pivotFmt>
      <c:pivotFmt>
        <c:idx val="235"/>
        <c:spPr>
          <a:solidFill>
            <a:schemeClr val="accent1"/>
          </a:solidFill>
          <a:ln w="19050">
            <a:solidFill>
              <a:schemeClr val="lt1"/>
            </a:solidFill>
          </a:ln>
          <a:effectLst/>
        </c:spPr>
      </c:pivotFmt>
      <c:pivotFmt>
        <c:idx val="236"/>
        <c:spPr>
          <a:solidFill>
            <a:schemeClr val="accent1"/>
          </a:solidFill>
          <a:ln w="19050">
            <a:solidFill>
              <a:schemeClr val="lt1"/>
            </a:solidFill>
          </a:ln>
          <a:effectLst/>
        </c:spPr>
      </c:pivotFmt>
    </c:pivotFmts>
    <c:plotArea>
      <c:layout/>
      <c:ofPieChart>
        <c:ofPieType val="bar"/>
        <c:varyColors val="1"/>
        <c:ser>
          <c:idx val="0"/>
          <c:order val="0"/>
          <c:tx>
            <c:strRef>
              <c:f>'Margin Analysies'!$B$3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Pt>
            <c:idx val="5"/>
            <c:bubble3D val="0"/>
            <c:spPr>
              <a:solidFill>
                <a:schemeClr val="accent6"/>
              </a:solidFill>
              <a:ln w="19050">
                <a:solidFill>
                  <a:schemeClr val="lt1"/>
                </a:solidFill>
              </a:ln>
              <a:effectLst/>
            </c:spPr>
          </c:dPt>
          <c:dPt>
            <c:idx val="6"/>
            <c:bubble3D val="0"/>
            <c:spPr>
              <a:solidFill>
                <a:schemeClr val="accent1">
                  <a:lumMod val="60000"/>
                </a:schemeClr>
              </a:solidFill>
              <a:ln w="19050">
                <a:solidFill>
                  <a:schemeClr val="lt1"/>
                </a:solidFill>
              </a:ln>
              <a:effectLst/>
            </c:spPr>
          </c:dPt>
          <c:dPt>
            <c:idx val="7"/>
            <c:bubble3D val="0"/>
            <c:spPr>
              <a:solidFill>
                <a:schemeClr val="accent2">
                  <a:lumMod val="60000"/>
                </a:schemeClr>
              </a:solidFill>
              <a:ln w="19050">
                <a:solidFill>
                  <a:schemeClr val="lt1"/>
                </a:solidFill>
              </a:ln>
              <a:effectLst/>
            </c:spPr>
          </c:dPt>
          <c:dPt>
            <c:idx val="8"/>
            <c:bubble3D val="0"/>
            <c:spPr>
              <a:solidFill>
                <a:schemeClr val="accent3">
                  <a:lumMod val="60000"/>
                </a:schemeClr>
              </a:solidFill>
              <a:ln w="19050">
                <a:solidFill>
                  <a:schemeClr val="lt1"/>
                </a:solidFill>
              </a:ln>
              <a:effectLst/>
            </c:spPr>
          </c:dPt>
          <c:dPt>
            <c:idx val="9"/>
            <c:bubble3D val="0"/>
            <c:spPr>
              <a:solidFill>
                <a:schemeClr val="accent4">
                  <a:lumMod val="60000"/>
                </a:schemeClr>
              </a:solidFill>
              <a:ln w="19050">
                <a:solidFill>
                  <a:schemeClr val="lt1"/>
                </a:solidFill>
              </a:ln>
              <a:effectLst/>
            </c:spPr>
          </c:dPt>
          <c:dPt>
            <c:idx val="10"/>
            <c:bubble3D val="0"/>
            <c:spPr>
              <a:solidFill>
                <a:schemeClr val="accent5">
                  <a:lumMod val="60000"/>
                </a:schemeClr>
              </a:solidFill>
              <a:ln w="19050">
                <a:solidFill>
                  <a:schemeClr val="lt1"/>
                </a:solidFill>
              </a:ln>
              <a:effectLst/>
            </c:spPr>
          </c:dPt>
          <c:dPt>
            <c:idx val="11"/>
            <c:bubble3D val="0"/>
            <c:spPr>
              <a:solidFill>
                <a:schemeClr val="accent6">
                  <a:lumMod val="60000"/>
                </a:schemeClr>
              </a:solidFill>
              <a:ln w="19050">
                <a:solidFill>
                  <a:schemeClr val="lt1"/>
                </a:solidFill>
              </a:ln>
              <a:effectLst/>
            </c:spPr>
          </c:dPt>
          <c:dPt>
            <c:idx val="12"/>
            <c:bubble3D val="0"/>
            <c:spPr>
              <a:solidFill>
                <a:schemeClr val="accent1">
                  <a:lumMod val="80000"/>
                  <a:lumOff val="20000"/>
                </a:schemeClr>
              </a:solidFill>
              <a:ln w="19050">
                <a:solidFill>
                  <a:schemeClr val="lt1"/>
                </a:solidFill>
              </a:ln>
              <a:effectLst/>
            </c:spPr>
          </c:dPt>
          <c:dPt>
            <c:idx val="13"/>
            <c:bubble3D val="0"/>
            <c:spPr>
              <a:solidFill>
                <a:schemeClr val="accent2">
                  <a:lumMod val="80000"/>
                  <a:lumOff val="20000"/>
                </a:schemeClr>
              </a:solidFill>
              <a:ln w="19050">
                <a:solidFill>
                  <a:schemeClr val="lt1"/>
                </a:solidFill>
              </a:ln>
              <a:effectLst/>
            </c:spPr>
          </c:dPt>
          <c:dPt>
            <c:idx val="14"/>
            <c:bubble3D val="0"/>
            <c:spPr>
              <a:solidFill>
                <a:schemeClr val="accent3">
                  <a:lumMod val="80000"/>
                  <a:lumOff val="20000"/>
                </a:schemeClr>
              </a:solidFill>
              <a:ln w="19050">
                <a:solidFill>
                  <a:schemeClr val="lt1"/>
                </a:solidFill>
              </a:ln>
              <a:effectLst/>
            </c:spPr>
          </c:dPt>
          <c:dPt>
            <c:idx val="15"/>
            <c:bubble3D val="0"/>
            <c:spPr>
              <a:solidFill>
                <a:schemeClr val="accent4">
                  <a:lumMod val="80000"/>
                  <a:lumOff val="20000"/>
                </a:schemeClr>
              </a:solidFill>
              <a:ln w="19050">
                <a:solidFill>
                  <a:schemeClr val="lt1"/>
                </a:solidFill>
              </a:ln>
              <a:effectLst/>
            </c:spPr>
          </c:dPt>
          <c:dPt>
            <c:idx val="16"/>
            <c:bubble3D val="0"/>
            <c:spPr>
              <a:solidFill>
                <a:schemeClr val="accent5">
                  <a:lumMod val="80000"/>
                  <a:lumOff val="20000"/>
                </a:schemeClr>
              </a:solidFill>
              <a:ln w="19050">
                <a:solidFill>
                  <a:schemeClr val="lt1"/>
                </a:solidFill>
              </a:ln>
              <a:effectLst/>
            </c:spPr>
          </c:dPt>
          <c:dPt>
            <c:idx val="17"/>
            <c:bubble3D val="0"/>
            <c:spPr>
              <a:solidFill>
                <a:schemeClr val="accent6">
                  <a:lumMod val="80000"/>
                  <a:lumOff val="20000"/>
                </a:schemeClr>
              </a:solidFill>
              <a:ln w="19050">
                <a:solidFill>
                  <a:schemeClr val="lt1"/>
                </a:solidFill>
              </a:ln>
              <a:effectLst/>
            </c:spPr>
          </c:dPt>
          <c:dPt>
            <c:idx val="18"/>
            <c:bubble3D val="0"/>
            <c:spPr>
              <a:solidFill>
                <a:schemeClr val="accent1">
                  <a:lumMod val="80000"/>
                </a:schemeClr>
              </a:solidFill>
              <a:ln w="19050">
                <a:solidFill>
                  <a:schemeClr val="lt1"/>
                </a:solidFill>
              </a:ln>
              <a:effectLst/>
            </c:spPr>
          </c:dPt>
          <c:dPt>
            <c:idx val="19"/>
            <c:bubble3D val="0"/>
            <c:spPr>
              <a:solidFill>
                <a:schemeClr val="accent2">
                  <a:lumMod val="80000"/>
                </a:schemeClr>
              </a:solidFill>
              <a:ln w="19050">
                <a:solidFill>
                  <a:schemeClr val="lt1"/>
                </a:solidFill>
              </a:ln>
              <a:effectLst/>
            </c:spPr>
          </c:dPt>
          <c:dPt>
            <c:idx val="20"/>
            <c:bubble3D val="0"/>
            <c:spPr>
              <a:solidFill>
                <a:schemeClr val="accent3">
                  <a:lumMod val="80000"/>
                </a:schemeClr>
              </a:solidFill>
              <a:ln w="19050">
                <a:solidFill>
                  <a:schemeClr val="lt1"/>
                </a:solidFill>
              </a:ln>
              <a:effectLst/>
            </c:spPr>
          </c:dPt>
          <c:dPt>
            <c:idx val="21"/>
            <c:bubble3D val="0"/>
            <c:spPr>
              <a:solidFill>
                <a:schemeClr val="accent4">
                  <a:lumMod val="80000"/>
                </a:schemeClr>
              </a:solidFill>
              <a:ln w="19050">
                <a:solidFill>
                  <a:schemeClr val="lt1"/>
                </a:solidFill>
              </a:ln>
              <a:effectLst/>
            </c:spPr>
          </c:dPt>
          <c:dPt>
            <c:idx val="22"/>
            <c:bubble3D val="0"/>
            <c:spPr>
              <a:solidFill>
                <a:schemeClr val="accent5">
                  <a:lumMod val="80000"/>
                </a:schemeClr>
              </a:solidFill>
              <a:ln w="19050">
                <a:solidFill>
                  <a:schemeClr val="lt1"/>
                </a:solidFill>
              </a:ln>
              <a:effectLst/>
            </c:spPr>
          </c:dPt>
          <c:dPt>
            <c:idx val="23"/>
            <c:bubble3D val="0"/>
            <c:spPr>
              <a:solidFill>
                <a:schemeClr val="accent6">
                  <a:lumMod val="80000"/>
                </a:schemeClr>
              </a:solidFill>
              <a:ln w="19050">
                <a:solidFill>
                  <a:schemeClr val="lt1"/>
                </a:solidFill>
              </a:ln>
              <a:effectLst/>
            </c:spPr>
          </c:dPt>
          <c:dPt>
            <c:idx val="24"/>
            <c:bubble3D val="0"/>
            <c:spPr>
              <a:solidFill>
                <a:schemeClr val="accent1">
                  <a:lumMod val="60000"/>
                  <a:lumOff val="40000"/>
                </a:schemeClr>
              </a:solidFill>
              <a:ln w="19050">
                <a:solidFill>
                  <a:schemeClr val="lt1"/>
                </a:solidFill>
              </a:ln>
              <a:effectLst/>
            </c:spPr>
          </c:dPt>
          <c:dPt>
            <c:idx val="25"/>
            <c:bubble3D val="0"/>
            <c:spPr>
              <a:solidFill>
                <a:schemeClr val="accent2">
                  <a:lumMod val="60000"/>
                  <a:lumOff val="40000"/>
                </a:schemeClr>
              </a:solidFill>
              <a:ln w="19050">
                <a:solidFill>
                  <a:schemeClr val="lt1"/>
                </a:solidFill>
              </a:ln>
              <a:effectLst/>
            </c:spPr>
          </c:dPt>
          <c:dPt>
            <c:idx val="26"/>
            <c:bubble3D val="0"/>
            <c:spPr>
              <a:solidFill>
                <a:schemeClr val="accent3">
                  <a:lumMod val="60000"/>
                  <a:lumOff val="40000"/>
                </a:schemeClr>
              </a:solidFill>
              <a:ln w="19050">
                <a:solidFill>
                  <a:schemeClr val="lt1"/>
                </a:solidFill>
              </a:ln>
              <a:effectLst/>
            </c:spPr>
          </c:dPt>
          <c:dPt>
            <c:idx val="27"/>
            <c:bubble3D val="0"/>
            <c:spPr>
              <a:solidFill>
                <a:schemeClr val="accent4">
                  <a:lumMod val="60000"/>
                  <a:lumOff val="40000"/>
                </a:schemeClr>
              </a:solidFill>
              <a:ln w="19050">
                <a:solidFill>
                  <a:schemeClr val="lt1"/>
                </a:solidFill>
              </a:ln>
              <a:effectLst/>
            </c:spPr>
          </c:dPt>
          <c:dPt>
            <c:idx val="28"/>
            <c:bubble3D val="0"/>
            <c:spPr>
              <a:solidFill>
                <a:schemeClr val="accent5">
                  <a:lumMod val="60000"/>
                  <a:lumOff val="40000"/>
                </a:schemeClr>
              </a:solidFill>
              <a:ln w="19050">
                <a:solidFill>
                  <a:schemeClr val="lt1"/>
                </a:solidFill>
              </a:ln>
              <a:effectLst/>
            </c:spPr>
          </c:dPt>
          <c:dPt>
            <c:idx val="29"/>
            <c:bubble3D val="0"/>
            <c:spPr>
              <a:solidFill>
                <a:schemeClr val="accent6">
                  <a:lumMod val="60000"/>
                  <a:lumOff val="40000"/>
                </a:schemeClr>
              </a:solidFill>
              <a:ln w="19050">
                <a:solidFill>
                  <a:schemeClr val="lt1"/>
                </a:solidFill>
              </a:ln>
              <a:effectLst/>
            </c:spPr>
          </c:dPt>
          <c:dPt>
            <c:idx val="30"/>
            <c:bubble3D val="0"/>
            <c:spPr>
              <a:solidFill>
                <a:schemeClr val="accent1">
                  <a:lumMod val="50000"/>
                </a:schemeClr>
              </a:solidFill>
              <a:ln w="19050">
                <a:solidFill>
                  <a:schemeClr val="lt1"/>
                </a:solidFill>
              </a:ln>
              <a:effectLst/>
            </c:spPr>
          </c:dPt>
          <c:dPt>
            <c:idx val="31"/>
            <c:bubble3D val="0"/>
            <c:spPr>
              <a:solidFill>
                <a:schemeClr val="accent2">
                  <a:lumMod val="50000"/>
                </a:schemeClr>
              </a:solidFill>
              <a:ln w="19050">
                <a:solidFill>
                  <a:schemeClr val="lt1"/>
                </a:solidFill>
              </a:ln>
              <a:effectLst/>
            </c:spPr>
          </c:dPt>
          <c:dPt>
            <c:idx val="32"/>
            <c:bubble3D val="0"/>
            <c:spPr>
              <a:solidFill>
                <a:schemeClr val="accent3">
                  <a:lumMod val="50000"/>
                </a:schemeClr>
              </a:solidFill>
              <a:ln w="19050">
                <a:solidFill>
                  <a:schemeClr val="lt1"/>
                </a:solidFill>
              </a:ln>
              <a:effectLst/>
            </c:spPr>
          </c:dPt>
          <c:dPt>
            <c:idx val="33"/>
            <c:bubble3D val="0"/>
            <c:spPr>
              <a:solidFill>
                <a:schemeClr val="accent4">
                  <a:lumMod val="50000"/>
                </a:schemeClr>
              </a:solidFill>
              <a:ln w="19050">
                <a:solidFill>
                  <a:schemeClr val="lt1"/>
                </a:solidFill>
              </a:ln>
              <a:effectLst/>
            </c:spPr>
          </c:dPt>
          <c:dPt>
            <c:idx val="34"/>
            <c:bubble3D val="0"/>
            <c:spPr>
              <a:solidFill>
                <a:schemeClr val="accent5">
                  <a:lumMod val="50000"/>
                </a:schemeClr>
              </a:solidFill>
              <a:ln w="19050">
                <a:solidFill>
                  <a:schemeClr val="lt1"/>
                </a:solidFill>
              </a:ln>
              <a:effectLst/>
            </c:spPr>
          </c:dPt>
          <c:dPt>
            <c:idx val="35"/>
            <c:bubble3D val="0"/>
            <c:spPr>
              <a:solidFill>
                <a:schemeClr val="accent6">
                  <a:lumMod val="50000"/>
                </a:schemeClr>
              </a:solidFill>
              <a:ln w="19050">
                <a:solidFill>
                  <a:schemeClr val="lt1"/>
                </a:solidFill>
              </a:ln>
              <a:effectLst/>
            </c:spPr>
          </c:dPt>
          <c:dPt>
            <c:idx val="36"/>
            <c:bubble3D val="0"/>
            <c:spPr>
              <a:solidFill>
                <a:schemeClr val="accent1">
                  <a:lumMod val="70000"/>
                  <a:lumOff val="30000"/>
                </a:schemeClr>
              </a:solidFill>
              <a:ln w="19050">
                <a:solidFill>
                  <a:schemeClr val="lt1"/>
                </a:solidFill>
              </a:ln>
              <a:effectLst/>
            </c:spPr>
          </c:dPt>
          <c:dPt>
            <c:idx val="37"/>
            <c:bubble3D val="0"/>
            <c:spPr>
              <a:solidFill>
                <a:schemeClr val="accent2">
                  <a:lumMod val="70000"/>
                  <a:lumOff val="30000"/>
                </a:schemeClr>
              </a:solidFill>
              <a:ln w="19050">
                <a:solidFill>
                  <a:schemeClr val="lt1"/>
                </a:solidFill>
              </a:ln>
              <a:effectLst/>
            </c:spPr>
          </c:dPt>
          <c:dPt>
            <c:idx val="38"/>
            <c:bubble3D val="0"/>
            <c:spPr>
              <a:solidFill>
                <a:schemeClr val="accent3">
                  <a:lumMod val="70000"/>
                  <a:lumOff val="30000"/>
                </a:schemeClr>
              </a:solidFill>
              <a:ln w="19050">
                <a:solidFill>
                  <a:schemeClr val="lt1"/>
                </a:solidFill>
              </a:ln>
              <a:effectLst/>
            </c:spPr>
          </c:dPt>
          <c:dPt>
            <c:idx val="39"/>
            <c:bubble3D val="0"/>
            <c:spPr>
              <a:solidFill>
                <a:schemeClr val="accent4">
                  <a:lumMod val="70000"/>
                  <a:lumOff val="30000"/>
                </a:schemeClr>
              </a:solidFill>
              <a:ln w="19050">
                <a:solidFill>
                  <a:schemeClr val="lt1"/>
                </a:solidFill>
              </a:ln>
              <a:effectLst/>
            </c:spPr>
          </c:dPt>
          <c:dPt>
            <c:idx val="40"/>
            <c:bubble3D val="0"/>
            <c:spPr>
              <a:solidFill>
                <a:schemeClr val="accent5">
                  <a:lumMod val="70000"/>
                  <a:lumOff val="30000"/>
                </a:schemeClr>
              </a:solidFill>
              <a:ln w="19050">
                <a:solidFill>
                  <a:schemeClr val="lt1"/>
                </a:solidFill>
              </a:ln>
              <a:effectLst/>
            </c:spPr>
          </c:dPt>
          <c:dPt>
            <c:idx val="41"/>
            <c:bubble3D val="0"/>
            <c:spPr>
              <a:solidFill>
                <a:schemeClr val="accent6">
                  <a:lumMod val="70000"/>
                  <a:lumOff val="30000"/>
                </a:schemeClr>
              </a:solidFill>
              <a:ln w="19050">
                <a:solidFill>
                  <a:schemeClr val="lt1"/>
                </a:solidFill>
              </a:ln>
              <a:effectLst/>
            </c:spPr>
          </c:dPt>
          <c:dPt>
            <c:idx val="42"/>
            <c:bubble3D val="0"/>
            <c:spPr>
              <a:solidFill>
                <a:schemeClr val="accent1">
                  <a:lumMod val="70000"/>
                </a:schemeClr>
              </a:solidFill>
              <a:ln w="19050">
                <a:solidFill>
                  <a:schemeClr val="lt1"/>
                </a:solidFill>
              </a:ln>
              <a:effectLst/>
            </c:spPr>
          </c:dPt>
          <c:dPt>
            <c:idx val="43"/>
            <c:bubble3D val="0"/>
            <c:spPr>
              <a:solidFill>
                <a:schemeClr val="accent2">
                  <a:lumMod val="70000"/>
                </a:schemeClr>
              </a:solidFill>
              <a:ln w="19050">
                <a:solidFill>
                  <a:schemeClr val="lt1"/>
                </a:solidFill>
              </a:ln>
              <a:effectLst/>
            </c:spPr>
          </c:dPt>
          <c:dPt>
            <c:idx val="44"/>
            <c:bubble3D val="0"/>
            <c:spPr>
              <a:solidFill>
                <a:schemeClr val="accent3">
                  <a:lumMod val="70000"/>
                </a:schemeClr>
              </a:solidFill>
              <a:ln w="19050">
                <a:solidFill>
                  <a:schemeClr val="lt1"/>
                </a:solidFill>
              </a:ln>
              <a:effectLst/>
            </c:spPr>
          </c:dPt>
          <c:dPt>
            <c:idx val="45"/>
            <c:bubble3D val="0"/>
            <c:spPr>
              <a:solidFill>
                <a:schemeClr val="accent4">
                  <a:lumMod val="70000"/>
                </a:schemeClr>
              </a:solidFill>
              <a:ln w="19050">
                <a:solidFill>
                  <a:schemeClr val="lt1"/>
                </a:solidFill>
              </a:ln>
              <a:effectLst/>
            </c:spPr>
          </c:dPt>
          <c:dPt>
            <c:idx val="46"/>
            <c:bubble3D val="0"/>
            <c:spPr>
              <a:solidFill>
                <a:schemeClr val="accent5">
                  <a:lumMod val="70000"/>
                </a:schemeClr>
              </a:solidFill>
              <a:ln w="19050">
                <a:solidFill>
                  <a:schemeClr val="lt1"/>
                </a:solidFill>
              </a:ln>
              <a:effectLst/>
            </c:spPr>
          </c:dPt>
          <c:dPt>
            <c:idx val="47"/>
            <c:bubble3D val="0"/>
            <c:spPr>
              <a:solidFill>
                <a:schemeClr val="accent6">
                  <a:lumMod val="70000"/>
                </a:schemeClr>
              </a:solidFill>
              <a:ln w="19050">
                <a:solidFill>
                  <a:schemeClr val="lt1"/>
                </a:solidFill>
              </a:ln>
              <a:effectLst/>
            </c:spPr>
          </c:dPt>
          <c:dPt>
            <c:idx val="48"/>
            <c:bubble3D val="0"/>
            <c:spPr>
              <a:solidFill>
                <a:schemeClr val="accent1">
                  <a:lumMod val="50000"/>
                  <a:lumOff val="50000"/>
                </a:schemeClr>
              </a:solidFill>
              <a:ln w="19050">
                <a:solidFill>
                  <a:schemeClr val="lt1"/>
                </a:solidFill>
              </a:ln>
              <a:effectLst/>
            </c:spPr>
          </c:dPt>
          <c:dPt>
            <c:idx val="49"/>
            <c:bubble3D val="0"/>
            <c:spPr>
              <a:solidFill>
                <a:schemeClr val="accent2">
                  <a:lumMod val="50000"/>
                  <a:lumOff val="50000"/>
                </a:schemeClr>
              </a:solidFill>
              <a:ln w="19050">
                <a:solidFill>
                  <a:schemeClr val="lt1"/>
                </a:solidFill>
              </a:ln>
              <a:effectLst/>
            </c:spPr>
          </c:dPt>
          <c:dPt>
            <c:idx val="50"/>
            <c:bubble3D val="0"/>
            <c:spPr>
              <a:solidFill>
                <a:schemeClr val="accent3">
                  <a:lumMod val="50000"/>
                  <a:lumOff val="50000"/>
                </a:schemeClr>
              </a:solidFill>
              <a:ln w="19050">
                <a:solidFill>
                  <a:schemeClr val="lt1"/>
                </a:solidFill>
              </a:ln>
              <a:effectLst/>
            </c:spPr>
          </c:dPt>
          <c:dPt>
            <c:idx val="51"/>
            <c:bubble3D val="0"/>
            <c:spPr>
              <a:solidFill>
                <a:schemeClr val="accent4">
                  <a:lumMod val="50000"/>
                  <a:lumOff val="50000"/>
                </a:schemeClr>
              </a:solidFill>
              <a:ln w="19050">
                <a:solidFill>
                  <a:schemeClr val="lt1"/>
                </a:solidFill>
              </a:ln>
              <a:effectLst/>
            </c:spPr>
          </c:dPt>
          <c:dPt>
            <c:idx val="52"/>
            <c:bubble3D val="0"/>
            <c:spPr>
              <a:solidFill>
                <a:schemeClr val="accent5">
                  <a:lumMod val="50000"/>
                  <a:lumOff val="50000"/>
                </a:schemeClr>
              </a:solidFill>
              <a:ln w="19050">
                <a:solidFill>
                  <a:schemeClr val="lt1"/>
                </a:solidFill>
              </a:ln>
              <a:effectLst/>
            </c:spPr>
          </c:dPt>
          <c:dPt>
            <c:idx val="53"/>
            <c:bubble3D val="0"/>
            <c:spPr>
              <a:solidFill>
                <a:schemeClr val="accent6">
                  <a:lumMod val="50000"/>
                  <a:lumOff val="50000"/>
                </a:schemeClr>
              </a:solidFill>
              <a:ln w="19050">
                <a:solidFill>
                  <a:schemeClr val="lt1"/>
                </a:solidFill>
              </a:ln>
              <a:effectLst/>
            </c:spPr>
          </c:dPt>
          <c:dPt>
            <c:idx val="54"/>
            <c:bubble3D val="0"/>
            <c:spPr>
              <a:solidFill>
                <a:schemeClr val="accent1"/>
              </a:solidFill>
              <a:ln w="19050">
                <a:solidFill>
                  <a:schemeClr val="lt1"/>
                </a:solidFill>
              </a:ln>
              <a:effectLst/>
            </c:spPr>
          </c:dPt>
          <c:dPt>
            <c:idx val="55"/>
            <c:bubble3D val="0"/>
            <c:spPr>
              <a:solidFill>
                <a:schemeClr val="accent2"/>
              </a:solidFill>
              <a:ln w="19050">
                <a:solidFill>
                  <a:schemeClr val="lt1"/>
                </a:solidFill>
              </a:ln>
              <a:effectLst/>
            </c:spPr>
          </c:dPt>
          <c:dPt>
            <c:idx val="56"/>
            <c:bubble3D val="0"/>
            <c:spPr>
              <a:solidFill>
                <a:schemeClr val="accent3"/>
              </a:solidFill>
              <a:ln w="19050">
                <a:solidFill>
                  <a:schemeClr val="lt1"/>
                </a:solidFill>
              </a:ln>
              <a:effectLst/>
            </c:spPr>
          </c:dPt>
          <c:dPt>
            <c:idx val="57"/>
            <c:bubble3D val="0"/>
            <c:spPr>
              <a:solidFill>
                <a:schemeClr val="accent4"/>
              </a:solidFill>
              <a:ln w="19050">
                <a:solidFill>
                  <a:schemeClr val="lt1"/>
                </a:solidFill>
              </a:ln>
              <a:effectLst/>
            </c:spPr>
          </c:dPt>
          <c:dPt>
            <c:idx val="58"/>
            <c:bubble3D val="0"/>
            <c:spPr>
              <a:solidFill>
                <a:schemeClr val="accent5"/>
              </a:solidFill>
              <a:ln w="19050">
                <a:solidFill>
                  <a:schemeClr val="lt1"/>
                </a:solidFill>
              </a:ln>
              <a:effectLst/>
            </c:spPr>
          </c:dPt>
          <c:dPt>
            <c:idx val="59"/>
            <c:bubble3D val="0"/>
            <c:spPr>
              <a:solidFill>
                <a:schemeClr val="accent6"/>
              </a:solidFill>
              <a:ln w="19050">
                <a:solidFill>
                  <a:schemeClr val="lt1"/>
                </a:solidFill>
              </a:ln>
              <a:effectLst/>
            </c:spPr>
          </c:dPt>
          <c:dPt>
            <c:idx val="60"/>
            <c:bubble3D val="0"/>
            <c:spPr>
              <a:solidFill>
                <a:schemeClr val="accent1">
                  <a:lumMod val="60000"/>
                </a:schemeClr>
              </a:solidFill>
              <a:ln w="19050">
                <a:solidFill>
                  <a:schemeClr val="lt1"/>
                </a:solidFill>
              </a:ln>
              <a:effectLst/>
            </c:spPr>
          </c:dPt>
          <c:dPt>
            <c:idx val="61"/>
            <c:bubble3D val="0"/>
            <c:spPr>
              <a:solidFill>
                <a:schemeClr val="accent2">
                  <a:lumMod val="60000"/>
                </a:schemeClr>
              </a:solidFill>
              <a:ln w="19050">
                <a:solidFill>
                  <a:schemeClr val="lt1"/>
                </a:solidFill>
              </a:ln>
              <a:effectLst/>
            </c:spPr>
          </c:dPt>
          <c:dPt>
            <c:idx val="62"/>
            <c:bubble3D val="0"/>
            <c:spPr>
              <a:solidFill>
                <a:schemeClr val="accent3">
                  <a:lumMod val="60000"/>
                </a:schemeClr>
              </a:solidFill>
              <a:ln w="19050">
                <a:solidFill>
                  <a:schemeClr val="lt1"/>
                </a:solidFill>
              </a:ln>
              <a:effectLst/>
            </c:spPr>
          </c:dPt>
          <c:dPt>
            <c:idx val="63"/>
            <c:bubble3D val="0"/>
            <c:spPr>
              <a:solidFill>
                <a:schemeClr val="accent4">
                  <a:lumMod val="60000"/>
                </a:schemeClr>
              </a:solidFill>
              <a:ln w="19050">
                <a:solidFill>
                  <a:schemeClr val="lt1"/>
                </a:solidFill>
              </a:ln>
              <a:effectLst/>
            </c:spPr>
          </c:dPt>
          <c:dPt>
            <c:idx val="64"/>
            <c:bubble3D val="0"/>
            <c:spPr>
              <a:solidFill>
                <a:schemeClr val="accent5">
                  <a:lumMod val="60000"/>
                </a:schemeClr>
              </a:solidFill>
              <a:ln w="19050">
                <a:solidFill>
                  <a:schemeClr val="lt1"/>
                </a:solidFill>
              </a:ln>
              <a:effectLst/>
            </c:spPr>
          </c:dPt>
          <c:dPt>
            <c:idx val="65"/>
            <c:bubble3D val="0"/>
            <c:spPr>
              <a:solidFill>
                <a:schemeClr val="accent6">
                  <a:lumMod val="60000"/>
                </a:schemeClr>
              </a:solidFill>
              <a:ln w="19050">
                <a:solidFill>
                  <a:schemeClr val="lt1"/>
                </a:solidFill>
              </a:ln>
              <a:effectLst/>
            </c:spPr>
          </c:dPt>
          <c:dPt>
            <c:idx val="66"/>
            <c:bubble3D val="0"/>
            <c:spPr>
              <a:solidFill>
                <a:schemeClr val="accent1">
                  <a:lumMod val="80000"/>
                  <a:lumOff val="20000"/>
                </a:schemeClr>
              </a:solidFill>
              <a:ln w="19050">
                <a:solidFill>
                  <a:schemeClr val="lt1"/>
                </a:solidFill>
              </a:ln>
              <a:effectLst/>
            </c:spPr>
          </c:dPt>
          <c:dPt>
            <c:idx val="67"/>
            <c:bubble3D val="0"/>
            <c:spPr>
              <a:solidFill>
                <a:schemeClr val="accent2">
                  <a:lumMod val="80000"/>
                  <a:lumOff val="20000"/>
                </a:schemeClr>
              </a:solidFill>
              <a:ln w="19050">
                <a:solidFill>
                  <a:schemeClr val="lt1"/>
                </a:solidFill>
              </a:ln>
              <a:effectLst/>
            </c:spPr>
          </c:dPt>
          <c:dPt>
            <c:idx val="68"/>
            <c:bubble3D val="0"/>
            <c:spPr>
              <a:solidFill>
                <a:schemeClr val="accent3">
                  <a:lumMod val="80000"/>
                  <a:lumOff val="20000"/>
                </a:schemeClr>
              </a:solidFill>
              <a:ln w="19050">
                <a:solidFill>
                  <a:schemeClr val="lt1"/>
                </a:solidFill>
              </a:ln>
              <a:effectLst/>
            </c:spPr>
          </c:dPt>
          <c:dPt>
            <c:idx val="69"/>
            <c:bubble3D val="0"/>
            <c:spPr>
              <a:solidFill>
                <a:schemeClr val="accent4">
                  <a:lumMod val="80000"/>
                  <a:lumOff val="20000"/>
                </a:schemeClr>
              </a:solidFill>
              <a:ln w="19050">
                <a:solidFill>
                  <a:schemeClr val="lt1"/>
                </a:solidFill>
              </a:ln>
              <a:effectLst/>
            </c:spPr>
          </c:dPt>
          <c:dPt>
            <c:idx val="70"/>
            <c:bubble3D val="0"/>
            <c:spPr>
              <a:solidFill>
                <a:schemeClr val="accent5">
                  <a:lumMod val="80000"/>
                  <a:lumOff val="20000"/>
                </a:schemeClr>
              </a:solidFill>
              <a:ln w="19050">
                <a:solidFill>
                  <a:schemeClr val="lt1"/>
                </a:solidFill>
              </a:ln>
              <a:effectLst/>
            </c:spPr>
          </c:dPt>
          <c:dPt>
            <c:idx val="71"/>
            <c:bubble3D val="0"/>
            <c:spPr>
              <a:solidFill>
                <a:schemeClr val="accent6">
                  <a:lumMod val="80000"/>
                  <a:lumOff val="20000"/>
                </a:schemeClr>
              </a:solidFill>
              <a:ln w="19050">
                <a:solidFill>
                  <a:schemeClr val="lt1"/>
                </a:solidFill>
              </a:ln>
              <a:effectLst/>
            </c:spPr>
          </c:dPt>
          <c:dPt>
            <c:idx val="72"/>
            <c:bubble3D val="0"/>
            <c:spPr>
              <a:solidFill>
                <a:schemeClr val="accent1">
                  <a:lumMod val="80000"/>
                </a:schemeClr>
              </a:solidFill>
              <a:ln w="19050">
                <a:solidFill>
                  <a:schemeClr val="lt1"/>
                </a:solidFill>
              </a:ln>
              <a:effectLst/>
            </c:spPr>
          </c:dPt>
          <c:dPt>
            <c:idx val="73"/>
            <c:bubble3D val="0"/>
            <c:spPr>
              <a:solidFill>
                <a:schemeClr val="accent2">
                  <a:lumMod val="80000"/>
                </a:schemeClr>
              </a:solidFill>
              <a:ln w="19050">
                <a:solidFill>
                  <a:schemeClr val="lt1"/>
                </a:solidFill>
              </a:ln>
              <a:effectLst/>
            </c:spPr>
          </c:dPt>
          <c:dPt>
            <c:idx val="74"/>
            <c:bubble3D val="0"/>
            <c:spPr>
              <a:solidFill>
                <a:schemeClr val="accent3">
                  <a:lumMod val="80000"/>
                </a:schemeClr>
              </a:solidFill>
              <a:ln w="19050">
                <a:solidFill>
                  <a:schemeClr val="lt1"/>
                </a:solidFill>
              </a:ln>
              <a:effectLst/>
            </c:spPr>
          </c:dPt>
          <c:dPt>
            <c:idx val="75"/>
            <c:bubble3D val="0"/>
            <c:spPr>
              <a:solidFill>
                <a:schemeClr val="accent4">
                  <a:lumMod val="80000"/>
                </a:schemeClr>
              </a:solidFill>
              <a:ln w="19050">
                <a:solidFill>
                  <a:schemeClr val="lt1"/>
                </a:solidFill>
              </a:ln>
              <a:effectLst/>
            </c:spPr>
          </c:dPt>
          <c:dPt>
            <c:idx val="76"/>
            <c:bubble3D val="0"/>
            <c:spPr>
              <a:solidFill>
                <a:schemeClr val="accent5">
                  <a:lumMod val="80000"/>
                </a:schemeClr>
              </a:solidFill>
              <a:ln w="19050">
                <a:solidFill>
                  <a:schemeClr val="lt1"/>
                </a:solidFill>
              </a:ln>
              <a:effectLst/>
            </c:spPr>
          </c:dPt>
          <c:dPt>
            <c:idx val="77"/>
            <c:bubble3D val="0"/>
            <c:spPr>
              <a:solidFill>
                <a:schemeClr val="accent6">
                  <a:lumMod val="80000"/>
                </a:schemeClr>
              </a:solidFill>
              <a:ln w="19050">
                <a:solidFill>
                  <a:schemeClr val="lt1"/>
                </a:solidFill>
              </a:ln>
              <a:effectLst/>
            </c:spPr>
          </c:dPt>
          <c:dPt>
            <c:idx val="78"/>
            <c:bubble3D val="0"/>
            <c:spPr>
              <a:solidFill>
                <a:schemeClr val="accent1">
                  <a:lumMod val="60000"/>
                  <a:lumOff val="40000"/>
                </a:schemeClr>
              </a:solidFill>
              <a:ln w="19050">
                <a:solidFill>
                  <a:schemeClr val="lt1"/>
                </a:solidFill>
              </a:ln>
              <a:effectLst/>
            </c:spPr>
          </c:dPt>
          <c:dPt>
            <c:idx val="79"/>
            <c:bubble3D val="0"/>
            <c:spPr>
              <a:solidFill>
                <a:schemeClr val="accent2">
                  <a:lumMod val="60000"/>
                  <a:lumOff val="40000"/>
                </a:schemeClr>
              </a:solidFill>
              <a:ln w="19050">
                <a:solidFill>
                  <a:schemeClr val="lt1"/>
                </a:solidFill>
              </a:ln>
              <a:effectLst/>
            </c:spPr>
          </c:dPt>
          <c:dPt>
            <c:idx val="80"/>
            <c:bubble3D val="0"/>
            <c:spPr>
              <a:solidFill>
                <a:schemeClr val="accent3">
                  <a:lumMod val="60000"/>
                  <a:lumOff val="40000"/>
                </a:schemeClr>
              </a:solidFill>
              <a:ln w="19050">
                <a:solidFill>
                  <a:schemeClr val="lt1"/>
                </a:solidFill>
              </a:ln>
              <a:effectLst/>
            </c:spPr>
          </c:dPt>
          <c:dPt>
            <c:idx val="81"/>
            <c:bubble3D val="0"/>
            <c:spPr>
              <a:solidFill>
                <a:schemeClr val="accent4">
                  <a:lumMod val="60000"/>
                  <a:lumOff val="40000"/>
                </a:schemeClr>
              </a:solidFill>
              <a:ln w="19050">
                <a:solidFill>
                  <a:schemeClr val="lt1"/>
                </a:solidFill>
              </a:ln>
              <a:effectLst/>
            </c:spPr>
          </c:dPt>
          <c:dPt>
            <c:idx val="82"/>
            <c:bubble3D val="0"/>
            <c:spPr>
              <a:solidFill>
                <a:schemeClr val="accent5">
                  <a:lumMod val="60000"/>
                  <a:lumOff val="40000"/>
                </a:schemeClr>
              </a:solidFill>
              <a:ln w="19050">
                <a:solidFill>
                  <a:schemeClr val="lt1"/>
                </a:solidFill>
              </a:ln>
              <a:effectLst/>
            </c:spPr>
          </c:dPt>
          <c:dPt>
            <c:idx val="83"/>
            <c:bubble3D val="0"/>
            <c:spPr>
              <a:solidFill>
                <a:schemeClr val="accent6">
                  <a:lumMod val="60000"/>
                  <a:lumOff val="40000"/>
                </a:schemeClr>
              </a:solidFill>
              <a:ln w="19050">
                <a:solidFill>
                  <a:schemeClr val="lt1"/>
                </a:solidFill>
              </a:ln>
              <a:effectLst/>
            </c:spPr>
          </c:dPt>
          <c:dPt>
            <c:idx val="84"/>
            <c:bubble3D val="0"/>
            <c:spPr>
              <a:solidFill>
                <a:schemeClr val="accent1">
                  <a:lumMod val="50000"/>
                </a:schemeClr>
              </a:solidFill>
              <a:ln w="19050">
                <a:solidFill>
                  <a:schemeClr val="lt1"/>
                </a:solidFill>
              </a:ln>
              <a:effectLst/>
            </c:spPr>
          </c:dPt>
          <c:dPt>
            <c:idx val="85"/>
            <c:bubble3D val="0"/>
            <c:spPr>
              <a:solidFill>
                <a:schemeClr val="accent2">
                  <a:lumMod val="50000"/>
                </a:schemeClr>
              </a:solidFill>
              <a:ln w="19050">
                <a:solidFill>
                  <a:schemeClr val="lt1"/>
                </a:solidFill>
              </a:ln>
              <a:effectLst/>
            </c:spPr>
          </c:dPt>
          <c:dPt>
            <c:idx val="86"/>
            <c:bubble3D val="0"/>
            <c:spPr>
              <a:solidFill>
                <a:schemeClr val="accent3">
                  <a:lumMod val="50000"/>
                </a:schemeClr>
              </a:solidFill>
              <a:ln w="19050">
                <a:solidFill>
                  <a:schemeClr val="lt1"/>
                </a:solidFill>
              </a:ln>
              <a:effectLst/>
            </c:spPr>
          </c:dPt>
          <c:dPt>
            <c:idx val="87"/>
            <c:bubble3D val="0"/>
            <c:spPr>
              <a:solidFill>
                <a:schemeClr val="accent4">
                  <a:lumMod val="50000"/>
                </a:schemeClr>
              </a:solidFill>
              <a:ln w="19050">
                <a:solidFill>
                  <a:schemeClr val="lt1"/>
                </a:solidFill>
              </a:ln>
              <a:effectLst/>
            </c:spPr>
          </c:dPt>
          <c:dPt>
            <c:idx val="88"/>
            <c:bubble3D val="0"/>
            <c:spPr>
              <a:solidFill>
                <a:schemeClr val="accent5">
                  <a:lumMod val="50000"/>
                </a:schemeClr>
              </a:solidFill>
              <a:ln w="19050">
                <a:solidFill>
                  <a:schemeClr val="lt1"/>
                </a:solidFill>
              </a:ln>
              <a:effectLst/>
            </c:spPr>
          </c:dPt>
          <c:dPt>
            <c:idx val="89"/>
            <c:bubble3D val="0"/>
            <c:spPr>
              <a:solidFill>
                <a:schemeClr val="accent6">
                  <a:lumMod val="50000"/>
                </a:schemeClr>
              </a:solidFill>
              <a:ln w="19050">
                <a:solidFill>
                  <a:schemeClr val="lt1"/>
                </a:solidFill>
              </a:ln>
              <a:effectLst/>
            </c:spPr>
          </c:dPt>
          <c:dPt>
            <c:idx val="90"/>
            <c:bubble3D val="0"/>
            <c:spPr>
              <a:solidFill>
                <a:schemeClr val="accent1">
                  <a:lumMod val="70000"/>
                  <a:lumOff val="30000"/>
                </a:schemeClr>
              </a:solidFill>
              <a:ln w="19050">
                <a:solidFill>
                  <a:schemeClr val="lt1"/>
                </a:solidFill>
              </a:ln>
              <a:effectLst/>
            </c:spPr>
          </c:dPt>
          <c:dPt>
            <c:idx val="91"/>
            <c:bubble3D val="0"/>
            <c:spPr>
              <a:solidFill>
                <a:schemeClr val="accent2">
                  <a:lumMod val="70000"/>
                  <a:lumOff val="30000"/>
                </a:schemeClr>
              </a:solidFill>
              <a:ln w="19050">
                <a:solidFill>
                  <a:schemeClr val="lt1"/>
                </a:solidFill>
              </a:ln>
              <a:effectLst/>
            </c:spPr>
          </c:dPt>
          <c:dPt>
            <c:idx val="92"/>
            <c:bubble3D val="0"/>
            <c:spPr>
              <a:solidFill>
                <a:schemeClr val="accent3">
                  <a:lumMod val="70000"/>
                  <a:lumOff val="30000"/>
                </a:schemeClr>
              </a:solidFill>
              <a:ln w="19050">
                <a:solidFill>
                  <a:schemeClr val="lt1"/>
                </a:solidFill>
              </a:ln>
              <a:effectLst/>
            </c:spPr>
          </c:dPt>
          <c:dPt>
            <c:idx val="93"/>
            <c:bubble3D val="0"/>
            <c:spPr>
              <a:solidFill>
                <a:schemeClr val="accent4">
                  <a:lumMod val="70000"/>
                  <a:lumOff val="30000"/>
                </a:schemeClr>
              </a:solidFill>
              <a:ln w="19050">
                <a:solidFill>
                  <a:schemeClr val="lt1"/>
                </a:solidFill>
              </a:ln>
              <a:effectLst/>
            </c:spPr>
          </c:dPt>
          <c:dPt>
            <c:idx val="94"/>
            <c:bubble3D val="0"/>
            <c:spPr>
              <a:solidFill>
                <a:schemeClr val="accent5">
                  <a:lumMod val="70000"/>
                  <a:lumOff val="30000"/>
                </a:schemeClr>
              </a:solidFill>
              <a:ln w="19050">
                <a:solidFill>
                  <a:schemeClr val="lt1"/>
                </a:solidFill>
              </a:ln>
              <a:effectLst/>
            </c:spPr>
          </c:dPt>
          <c:dPt>
            <c:idx val="95"/>
            <c:bubble3D val="0"/>
            <c:spPr>
              <a:solidFill>
                <a:schemeClr val="accent6">
                  <a:lumMod val="70000"/>
                  <a:lumOff val="30000"/>
                </a:schemeClr>
              </a:solidFill>
              <a:ln w="19050">
                <a:solidFill>
                  <a:schemeClr val="lt1"/>
                </a:solidFill>
              </a:ln>
              <a:effectLst/>
            </c:spPr>
          </c:dPt>
          <c:dPt>
            <c:idx val="96"/>
            <c:bubble3D val="0"/>
            <c:spPr>
              <a:solidFill>
                <a:schemeClr val="accent1">
                  <a:lumMod val="70000"/>
                </a:schemeClr>
              </a:solidFill>
              <a:ln w="19050">
                <a:solidFill>
                  <a:schemeClr val="lt1"/>
                </a:solidFill>
              </a:ln>
              <a:effectLst/>
            </c:spPr>
          </c:dPt>
          <c:dPt>
            <c:idx val="97"/>
            <c:bubble3D val="0"/>
            <c:spPr>
              <a:solidFill>
                <a:schemeClr val="accent2">
                  <a:lumMod val="70000"/>
                </a:schemeClr>
              </a:solidFill>
              <a:ln w="19050">
                <a:solidFill>
                  <a:schemeClr val="lt1"/>
                </a:solidFill>
              </a:ln>
              <a:effectLst/>
            </c:spPr>
          </c:dPt>
          <c:dPt>
            <c:idx val="98"/>
            <c:bubble3D val="0"/>
            <c:spPr>
              <a:solidFill>
                <a:schemeClr val="accent3">
                  <a:lumMod val="70000"/>
                </a:schemeClr>
              </a:solidFill>
              <a:ln w="19050">
                <a:solidFill>
                  <a:schemeClr val="lt1"/>
                </a:solidFill>
              </a:ln>
              <a:effectLst/>
            </c:spPr>
          </c:dPt>
          <c:dPt>
            <c:idx val="99"/>
            <c:bubble3D val="0"/>
            <c:spPr>
              <a:solidFill>
                <a:schemeClr val="accent4">
                  <a:lumMod val="70000"/>
                </a:schemeClr>
              </a:solidFill>
              <a:ln w="19050">
                <a:solidFill>
                  <a:schemeClr val="lt1"/>
                </a:solidFill>
              </a:ln>
              <a:effectLst/>
            </c:spPr>
          </c:dPt>
          <c:dPt>
            <c:idx val="100"/>
            <c:bubble3D val="0"/>
            <c:spPr>
              <a:solidFill>
                <a:schemeClr val="accent5">
                  <a:lumMod val="70000"/>
                </a:schemeClr>
              </a:solidFill>
              <a:ln w="19050">
                <a:solidFill>
                  <a:schemeClr val="lt1"/>
                </a:solidFill>
              </a:ln>
              <a:effectLst/>
            </c:spPr>
          </c:dPt>
          <c:dPt>
            <c:idx val="101"/>
            <c:bubble3D val="0"/>
            <c:spPr>
              <a:solidFill>
                <a:schemeClr val="accent6">
                  <a:lumMod val="70000"/>
                </a:schemeClr>
              </a:solidFill>
              <a:ln w="19050">
                <a:solidFill>
                  <a:schemeClr val="lt1"/>
                </a:solidFill>
              </a:ln>
              <a:effectLst/>
            </c:spPr>
          </c:dPt>
          <c:dPt>
            <c:idx val="102"/>
            <c:bubble3D val="0"/>
            <c:spPr>
              <a:solidFill>
                <a:schemeClr val="accent1">
                  <a:lumMod val="50000"/>
                  <a:lumOff val="50000"/>
                </a:schemeClr>
              </a:solidFill>
              <a:ln w="19050">
                <a:solidFill>
                  <a:schemeClr val="lt1"/>
                </a:solidFill>
              </a:ln>
              <a:effectLst/>
            </c:spPr>
          </c:dPt>
          <c:dPt>
            <c:idx val="103"/>
            <c:bubble3D val="0"/>
            <c:spPr>
              <a:solidFill>
                <a:schemeClr val="accent2">
                  <a:lumMod val="50000"/>
                  <a:lumOff val="50000"/>
                </a:schemeClr>
              </a:solidFill>
              <a:ln w="19050">
                <a:solidFill>
                  <a:schemeClr val="lt1"/>
                </a:solidFill>
              </a:ln>
              <a:effectLst/>
            </c:spPr>
          </c:dPt>
          <c:dPt>
            <c:idx val="104"/>
            <c:bubble3D val="0"/>
            <c:spPr>
              <a:solidFill>
                <a:schemeClr val="accent3">
                  <a:lumMod val="50000"/>
                  <a:lumOff val="50000"/>
                </a:schemeClr>
              </a:solidFill>
              <a:ln w="19050">
                <a:solidFill>
                  <a:schemeClr val="lt1"/>
                </a:solidFill>
              </a:ln>
              <a:effectLst/>
            </c:spPr>
          </c:dPt>
          <c:dPt>
            <c:idx val="105"/>
            <c:bubble3D val="0"/>
            <c:spPr>
              <a:solidFill>
                <a:schemeClr val="accent4">
                  <a:lumMod val="50000"/>
                  <a:lumOff val="50000"/>
                </a:schemeClr>
              </a:solidFill>
              <a:ln w="19050">
                <a:solidFill>
                  <a:schemeClr val="lt1"/>
                </a:solidFill>
              </a:ln>
              <a:effectLst/>
            </c:spPr>
          </c:dPt>
          <c:dPt>
            <c:idx val="106"/>
            <c:bubble3D val="0"/>
            <c:spPr>
              <a:solidFill>
                <a:schemeClr val="accent5">
                  <a:lumMod val="50000"/>
                  <a:lumOff val="50000"/>
                </a:schemeClr>
              </a:solidFill>
              <a:ln w="19050">
                <a:solidFill>
                  <a:schemeClr val="lt1"/>
                </a:solidFill>
              </a:ln>
              <a:effectLst/>
            </c:spPr>
          </c:dPt>
          <c:dPt>
            <c:idx val="107"/>
            <c:bubble3D val="0"/>
            <c:spPr>
              <a:solidFill>
                <a:schemeClr val="accent6">
                  <a:lumMod val="50000"/>
                  <a:lumOff val="50000"/>
                </a:schemeClr>
              </a:solidFill>
              <a:ln w="19050">
                <a:solidFill>
                  <a:schemeClr val="lt1"/>
                </a:solidFill>
              </a:ln>
              <a:effectLst/>
            </c:spPr>
          </c:dPt>
          <c:dPt>
            <c:idx val="108"/>
            <c:bubble3D val="0"/>
            <c:spPr>
              <a:solidFill>
                <a:schemeClr val="accent1"/>
              </a:solidFill>
              <a:ln w="19050">
                <a:solidFill>
                  <a:schemeClr val="lt1"/>
                </a:solidFill>
              </a:ln>
              <a:effectLst/>
            </c:spPr>
          </c:dPt>
          <c:dPt>
            <c:idx val="109"/>
            <c:bubble3D val="0"/>
            <c:spPr>
              <a:solidFill>
                <a:schemeClr val="accent2"/>
              </a:solidFill>
              <a:ln w="19050">
                <a:solidFill>
                  <a:schemeClr val="lt1"/>
                </a:solidFill>
              </a:ln>
              <a:effectLst/>
            </c:spPr>
          </c:dPt>
          <c:dPt>
            <c:idx val="110"/>
            <c:bubble3D val="0"/>
            <c:spPr>
              <a:solidFill>
                <a:schemeClr val="accent3"/>
              </a:solidFill>
              <a:ln w="19050">
                <a:solidFill>
                  <a:schemeClr val="lt1"/>
                </a:solidFill>
              </a:ln>
              <a:effectLst/>
            </c:spPr>
          </c:dPt>
          <c:dPt>
            <c:idx val="111"/>
            <c:bubble3D val="0"/>
            <c:spPr>
              <a:solidFill>
                <a:schemeClr val="accent4"/>
              </a:solidFill>
              <a:ln w="19050">
                <a:solidFill>
                  <a:schemeClr val="lt1"/>
                </a:solidFill>
              </a:ln>
              <a:effectLst/>
            </c:spPr>
          </c:dPt>
          <c:dPt>
            <c:idx val="112"/>
            <c:bubble3D val="0"/>
            <c:spPr>
              <a:solidFill>
                <a:schemeClr val="accent5"/>
              </a:solidFill>
              <a:ln w="19050">
                <a:solidFill>
                  <a:schemeClr val="lt1"/>
                </a:solidFill>
              </a:ln>
              <a:effectLst/>
            </c:spPr>
          </c:dPt>
          <c:dPt>
            <c:idx val="113"/>
            <c:bubble3D val="0"/>
            <c:spPr>
              <a:solidFill>
                <a:schemeClr val="accent6"/>
              </a:solidFill>
              <a:ln w="19050">
                <a:solidFill>
                  <a:schemeClr val="lt1"/>
                </a:solidFill>
              </a:ln>
              <a:effectLst/>
            </c:spPr>
          </c:dPt>
          <c:dPt>
            <c:idx val="114"/>
            <c:bubble3D val="0"/>
            <c:spPr>
              <a:solidFill>
                <a:schemeClr val="accent1">
                  <a:lumMod val="60000"/>
                </a:schemeClr>
              </a:solidFill>
              <a:ln w="19050">
                <a:solidFill>
                  <a:schemeClr val="lt1"/>
                </a:solidFill>
              </a:ln>
              <a:effectLst/>
            </c:spPr>
          </c:dPt>
          <c:dPt>
            <c:idx val="115"/>
            <c:bubble3D val="0"/>
            <c:spPr>
              <a:solidFill>
                <a:schemeClr val="accent2">
                  <a:lumMod val="60000"/>
                </a:schemeClr>
              </a:solidFill>
              <a:ln w="19050">
                <a:solidFill>
                  <a:schemeClr val="lt1"/>
                </a:solidFill>
              </a:ln>
              <a:effectLst/>
            </c:spPr>
          </c:dPt>
          <c:dPt>
            <c:idx val="116"/>
            <c:bubble3D val="0"/>
            <c:spPr>
              <a:solidFill>
                <a:schemeClr val="accent3">
                  <a:lumMod val="60000"/>
                </a:schemeClr>
              </a:solidFill>
              <a:ln w="19050">
                <a:solidFill>
                  <a:schemeClr val="lt1"/>
                </a:solidFill>
              </a:ln>
              <a:effectLst/>
            </c:spPr>
          </c:dPt>
          <c:dPt>
            <c:idx val="117"/>
            <c:bubble3D val="0"/>
            <c:spPr>
              <a:solidFill>
                <a:schemeClr val="accent4">
                  <a:lumMod val="60000"/>
                </a:schemeClr>
              </a:solidFill>
              <a:ln w="19050">
                <a:solidFill>
                  <a:schemeClr val="lt1"/>
                </a:solidFill>
              </a:ln>
              <a:effectLst/>
            </c:spPr>
          </c:dPt>
          <c:cat>
            <c:strRef>
              <c:f>'Margin Analysies'!$A$4:$A$121</c:f>
              <c:strCache>
                <c:ptCount val="117"/>
                <c:pt idx="0">
                  <c:v>Abohar</c:v>
                </c:pt>
                <c:pt idx="1">
                  <c:v>Adampur</c:v>
                </c:pt>
                <c:pt idx="2">
                  <c:v>Ajnala</c:v>
                </c:pt>
                <c:pt idx="3">
                  <c:v>Amargarh</c:v>
                </c:pt>
                <c:pt idx="4">
                  <c:v>Amloh</c:v>
                </c:pt>
                <c:pt idx="5">
                  <c:v>Amritsar Central</c:v>
                </c:pt>
                <c:pt idx="6">
                  <c:v>Amritsar East</c:v>
                </c:pt>
                <c:pt idx="7">
                  <c:v>Amritsar North</c:v>
                </c:pt>
                <c:pt idx="8">
                  <c:v>Amritsar South</c:v>
                </c:pt>
                <c:pt idx="9">
                  <c:v>Amritsar West</c:v>
                </c:pt>
                <c:pt idx="10">
                  <c:v>Anandpur Sahib</c:v>
                </c:pt>
                <c:pt idx="11">
                  <c:v>Atam Nagar</c:v>
                </c:pt>
                <c:pt idx="12">
                  <c:v>Attari</c:v>
                </c:pt>
                <c:pt idx="13">
                  <c:v>Baba Bakala</c:v>
                </c:pt>
                <c:pt idx="14">
                  <c:v>Balachaur</c:v>
                </c:pt>
                <c:pt idx="15">
                  <c:v>Balluana</c:v>
                </c:pt>
                <c:pt idx="16">
                  <c:v>Banga</c:v>
                </c:pt>
                <c:pt idx="17">
                  <c:v>Barnala</c:v>
                </c:pt>
                <c:pt idx="18">
                  <c:v>Bassi Pathana</c:v>
                </c:pt>
                <c:pt idx="19">
                  <c:v>Batala</c:v>
                </c:pt>
                <c:pt idx="20">
                  <c:v>Bathinda Rural</c:v>
                </c:pt>
                <c:pt idx="21">
                  <c:v>Bathinda Urban</c:v>
                </c:pt>
                <c:pt idx="22">
                  <c:v>Bhadaur</c:v>
                </c:pt>
                <c:pt idx="23">
                  <c:v>Bhagha Purana</c:v>
                </c:pt>
                <c:pt idx="24">
                  <c:v>Bhoa</c:v>
                </c:pt>
                <c:pt idx="25">
                  <c:v>Bholath</c:v>
                </c:pt>
                <c:pt idx="26">
                  <c:v>Bhucho Mandi</c:v>
                </c:pt>
                <c:pt idx="27">
                  <c:v>Budhlada</c:v>
                </c:pt>
                <c:pt idx="28">
                  <c:v>Chabbewal</c:v>
                </c:pt>
                <c:pt idx="29">
                  <c:v>Chamkaur Sahib</c:v>
                </c:pt>
                <c:pt idx="30">
                  <c:v>Dakha</c:v>
                </c:pt>
                <c:pt idx="31">
                  <c:v>Dasuya</c:v>
                </c:pt>
                <c:pt idx="32">
                  <c:v>Dera Baba Nanak</c:v>
                </c:pt>
                <c:pt idx="33">
                  <c:v>Dera Bassi</c:v>
                </c:pt>
                <c:pt idx="34">
                  <c:v>Dharamkot</c:v>
                </c:pt>
                <c:pt idx="35">
                  <c:v>Dhuri</c:v>
                </c:pt>
                <c:pt idx="36">
                  <c:v>Dina Nagar</c:v>
                </c:pt>
                <c:pt idx="37">
                  <c:v>Dirba</c:v>
                </c:pt>
                <c:pt idx="38">
                  <c:v>Faridkot</c:v>
                </c:pt>
                <c:pt idx="39">
                  <c:v>Fatehgarh Churian</c:v>
                </c:pt>
                <c:pt idx="40">
                  <c:v>Fatehgarh Sahib</c:v>
                </c:pt>
                <c:pt idx="41">
                  <c:v>Fazilka</c:v>
                </c:pt>
                <c:pt idx="42">
                  <c:v>Firozpur City</c:v>
                </c:pt>
                <c:pt idx="43">
                  <c:v>Firozpur Rural</c:v>
                </c:pt>
                <c:pt idx="44">
                  <c:v>Garhshankar</c:v>
                </c:pt>
                <c:pt idx="45">
                  <c:v>Ghanaur</c:v>
                </c:pt>
                <c:pt idx="46">
                  <c:v>Gidderbaha</c:v>
                </c:pt>
                <c:pt idx="47">
                  <c:v>Gill</c:v>
                </c:pt>
                <c:pt idx="48">
                  <c:v>Gurdaspur</c:v>
                </c:pt>
                <c:pt idx="49">
                  <c:v>Guru Har Sahai</c:v>
                </c:pt>
                <c:pt idx="50">
                  <c:v>Hoshiarpur</c:v>
                </c:pt>
                <c:pt idx="51">
                  <c:v>Jagraon</c:v>
                </c:pt>
                <c:pt idx="52">
                  <c:v>Jaitu</c:v>
                </c:pt>
                <c:pt idx="53">
                  <c:v>Jalalabad</c:v>
                </c:pt>
                <c:pt idx="54">
                  <c:v>Jalandhar Cantt.</c:v>
                </c:pt>
                <c:pt idx="55">
                  <c:v>Jalandhar Central</c:v>
                </c:pt>
                <c:pt idx="56">
                  <c:v>Jalandhar North</c:v>
                </c:pt>
                <c:pt idx="57">
                  <c:v>Jalandhar West</c:v>
                </c:pt>
                <c:pt idx="58">
                  <c:v>Jandiala</c:v>
                </c:pt>
                <c:pt idx="59">
                  <c:v>Kapurthala</c:v>
                </c:pt>
                <c:pt idx="60">
                  <c:v>Kartarpur</c:v>
                </c:pt>
                <c:pt idx="61">
                  <c:v>Khadoor Sahib</c:v>
                </c:pt>
                <c:pt idx="62">
                  <c:v>Khanna</c:v>
                </c:pt>
                <c:pt idx="63">
                  <c:v>Kharar</c:v>
                </c:pt>
                <c:pt idx="64">
                  <c:v>Khem Karan</c:v>
                </c:pt>
                <c:pt idx="65">
                  <c:v>Kotkapura</c:v>
                </c:pt>
                <c:pt idx="66">
                  <c:v>Lambi</c:v>
                </c:pt>
                <c:pt idx="67">
                  <c:v>Lehra</c:v>
                </c:pt>
                <c:pt idx="68">
                  <c:v>Ludhiana Central</c:v>
                </c:pt>
                <c:pt idx="69">
                  <c:v>Ludhiana East</c:v>
                </c:pt>
                <c:pt idx="70">
                  <c:v>Ludhiana North</c:v>
                </c:pt>
                <c:pt idx="71">
                  <c:v>Ludhiana South</c:v>
                </c:pt>
                <c:pt idx="72">
                  <c:v>Ludhiana West</c:v>
                </c:pt>
                <c:pt idx="73">
                  <c:v>Majitha</c:v>
                </c:pt>
                <c:pt idx="74">
                  <c:v>Malerkotla</c:v>
                </c:pt>
                <c:pt idx="75">
                  <c:v>Malout</c:v>
                </c:pt>
                <c:pt idx="76">
                  <c:v>Mansa</c:v>
                </c:pt>
                <c:pt idx="77">
                  <c:v>Maur</c:v>
                </c:pt>
                <c:pt idx="78">
                  <c:v>Mehal Kalan</c:v>
                </c:pt>
                <c:pt idx="79">
                  <c:v>Moga</c:v>
                </c:pt>
                <c:pt idx="80">
                  <c:v>Mukerian</c:v>
                </c:pt>
                <c:pt idx="81">
                  <c:v>Muktsar</c:v>
                </c:pt>
                <c:pt idx="82">
                  <c:v>Nabha</c:v>
                </c:pt>
                <c:pt idx="83">
                  <c:v>Nakodar</c:v>
                </c:pt>
                <c:pt idx="84">
                  <c:v>Nawan Shahr</c:v>
                </c:pt>
                <c:pt idx="85">
                  <c:v>Nihal Singhwala</c:v>
                </c:pt>
                <c:pt idx="86">
                  <c:v>Pathankot</c:v>
                </c:pt>
                <c:pt idx="87">
                  <c:v>Patiala</c:v>
                </c:pt>
                <c:pt idx="88">
                  <c:v>Patiala Rural</c:v>
                </c:pt>
                <c:pt idx="89">
                  <c:v>Patti</c:v>
                </c:pt>
                <c:pt idx="90">
                  <c:v>Payal</c:v>
                </c:pt>
                <c:pt idx="91">
                  <c:v>Phagwara</c:v>
                </c:pt>
                <c:pt idx="92">
                  <c:v>Phillaur</c:v>
                </c:pt>
                <c:pt idx="93">
                  <c:v>Qadian</c:v>
                </c:pt>
                <c:pt idx="94">
                  <c:v>Raikot</c:v>
                </c:pt>
                <c:pt idx="95">
                  <c:v>Raja Sansi</c:v>
                </c:pt>
                <c:pt idx="96">
                  <c:v>Rajpura</c:v>
                </c:pt>
                <c:pt idx="97">
                  <c:v>Rampura Phul</c:v>
                </c:pt>
                <c:pt idx="98">
                  <c:v>Rupnagar</c:v>
                </c:pt>
                <c:pt idx="99">
                  <c:v>S.A.S. Nagar</c:v>
                </c:pt>
                <c:pt idx="100">
                  <c:v>Sahnewal</c:v>
                </c:pt>
                <c:pt idx="101">
                  <c:v>Samana</c:v>
                </c:pt>
                <c:pt idx="102">
                  <c:v>Samrala</c:v>
                </c:pt>
                <c:pt idx="103">
                  <c:v>Sangrur</c:v>
                </c:pt>
                <c:pt idx="104">
                  <c:v>Sanour</c:v>
                </c:pt>
                <c:pt idx="105">
                  <c:v>Sardulgarh</c:v>
                </c:pt>
                <c:pt idx="106">
                  <c:v>Shahkot</c:v>
                </c:pt>
                <c:pt idx="107">
                  <c:v>Sham Chaurasi</c:v>
                </c:pt>
                <c:pt idx="108">
                  <c:v>Shutrana</c:v>
                </c:pt>
                <c:pt idx="109">
                  <c:v>Sri Hargobindpur</c:v>
                </c:pt>
                <c:pt idx="110">
                  <c:v>Sujanpur</c:v>
                </c:pt>
                <c:pt idx="111">
                  <c:v>Sultanpur Lodhi</c:v>
                </c:pt>
                <c:pt idx="112">
                  <c:v>Sunam</c:v>
                </c:pt>
                <c:pt idx="113">
                  <c:v>Talwandi Sabo</c:v>
                </c:pt>
                <c:pt idx="114">
                  <c:v>Tarn Taran</c:v>
                </c:pt>
                <c:pt idx="115">
                  <c:v>Urmar</c:v>
                </c:pt>
                <c:pt idx="116">
                  <c:v>Zira</c:v>
                </c:pt>
              </c:strCache>
            </c:strRef>
          </c:cat>
          <c:val>
            <c:numRef>
              <c:f>'Margin Analysies'!$B$4:$B$121</c:f>
              <c:numCache>
                <c:formatCode>General</c:formatCode>
                <c:ptCount val="117"/>
                <c:pt idx="0">
                  <c:v>27746</c:v>
                </c:pt>
                <c:pt idx="1">
                  <c:v>11434</c:v>
                </c:pt>
                <c:pt idx="2">
                  <c:v>15252</c:v>
                </c:pt>
                <c:pt idx="3">
                  <c:v>30347</c:v>
                </c:pt>
                <c:pt idx="4">
                  <c:v>5376</c:v>
                </c:pt>
                <c:pt idx="5">
                  <c:v>7335</c:v>
                </c:pt>
                <c:pt idx="6">
                  <c:v>7174</c:v>
                </c:pt>
                <c:pt idx="7">
                  <c:v>1204</c:v>
                </c:pt>
                <c:pt idx="8">
                  <c:v>28472</c:v>
                </c:pt>
                <c:pt idx="9">
                  <c:v>7759</c:v>
                </c:pt>
                <c:pt idx="10">
                  <c:v>8587</c:v>
                </c:pt>
                <c:pt idx="11">
                  <c:v>32199</c:v>
                </c:pt>
                <c:pt idx="12">
                  <c:v>16963</c:v>
                </c:pt>
                <c:pt idx="13">
                  <c:v>25383</c:v>
                </c:pt>
                <c:pt idx="14">
                  <c:v>2691</c:v>
                </c:pt>
                <c:pt idx="15">
                  <c:v>10574</c:v>
                </c:pt>
                <c:pt idx="16">
                  <c:v>5808</c:v>
                </c:pt>
                <c:pt idx="17">
                  <c:v>75277</c:v>
                </c:pt>
                <c:pt idx="18">
                  <c:v>4179</c:v>
                </c:pt>
                <c:pt idx="19">
                  <c:v>26138</c:v>
                </c:pt>
                <c:pt idx="20">
                  <c:v>10410</c:v>
                </c:pt>
                <c:pt idx="21">
                  <c:v>32789</c:v>
                </c:pt>
                <c:pt idx="22">
                  <c:v>50655</c:v>
                </c:pt>
                <c:pt idx="23">
                  <c:v>57644</c:v>
                </c:pt>
                <c:pt idx="24">
                  <c:v>26062</c:v>
                </c:pt>
                <c:pt idx="25">
                  <c:v>28318</c:v>
                </c:pt>
                <c:pt idx="26">
                  <c:v>21130</c:v>
                </c:pt>
                <c:pt idx="27">
                  <c:v>63323</c:v>
                </c:pt>
                <c:pt idx="28">
                  <c:v>247</c:v>
                </c:pt>
                <c:pt idx="29">
                  <c:v>21356</c:v>
                </c:pt>
                <c:pt idx="30">
                  <c:v>16354</c:v>
                </c:pt>
                <c:pt idx="31">
                  <c:v>12303</c:v>
                </c:pt>
                <c:pt idx="32">
                  <c:v>40261</c:v>
                </c:pt>
                <c:pt idx="33">
                  <c:v>21721</c:v>
                </c:pt>
                <c:pt idx="34">
                  <c:v>5807</c:v>
                </c:pt>
                <c:pt idx="35">
                  <c:v>21686</c:v>
                </c:pt>
                <c:pt idx="36">
                  <c:v>4541</c:v>
                </c:pt>
                <c:pt idx="37">
                  <c:v>51691</c:v>
                </c:pt>
                <c:pt idx="38">
                  <c:v>11396</c:v>
                </c:pt>
                <c:pt idx="39">
                  <c:v>20915</c:v>
                </c:pt>
                <c:pt idx="40">
                  <c:v>5069</c:v>
                </c:pt>
                <c:pt idx="41">
                  <c:v>19569</c:v>
                </c:pt>
                <c:pt idx="42">
                  <c:v>37984</c:v>
                </c:pt>
                <c:pt idx="43">
                  <c:v>33759</c:v>
                </c:pt>
                <c:pt idx="44">
                  <c:v>9486</c:v>
                </c:pt>
                <c:pt idx="45">
                  <c:v>31765</c:v>
                </c:pt>
                <c:pt idx="46">
                  <c:v>27720</c:v>
                </c:pt>
                <c:pt idx="47">
                  <c:v>15193</c:v>
                </c:pt>
                <c:pt idx="48">
                  <c:v>2869</c:v>
                </c:pt>
                <c:pt idx="49">
                  <c:v>29972</c:v>
                </c:pt>
                <c:pt idx="50">
                  <c:v>4253</c:v>
                </c:pt>
                <c:pt idx="51">
                  <c:v>7512</c:v>
                </c:pt>
                <c:pt idx="52">
                  <c:v>34194</c:v>
                </c:pt>
                <c:pt idx="53">
                  <c:v>22776</c:v>
                </c:pt>
                <c:pt idx="54">
                  <c:v>7304</c:v>
                </c:pt>
                <c:pt idx="55">
                  <c:v>19552</c:v>
                </c:pt>
                <c:pt idx="56">
                  <c:v>9225</c:v>
                </c:pt>
                <c:pt idx="57">
                  <c:v>16491</c:v>
                </c:pt>
                <c:pt idx="58">
                  <c:v>4636</c:v>
                </c:pt>
                <c:pt idx="59">
                  <c:v>43913</c:v>
                </c:pt>
                <c:pt idx="60">
                  <c:v>10999</c:v>
                </c:pt>
                <c:pt idx="61">
                  <c:v>5474</c:v>
                </c:pt>
                <c:pt idx="62">
                  <c:v>45780</c:v>
                </c:pt>
                <c:pt idx="63">
                  <c:v>13859</c:v>
                </c:pt>
                <c:pt idx="64">
                  <c:v>466</c:v>
                </c:pt>
                <c:pt idx="65">
                  <c:v>1349</c:v>
                </c:pt>
                <c:pt idx="66">
                  <c:v>30930</c:v>
                </c:pt>
                <c:pt idx="67">
                  <c:v>41371</c:v>
                </c:pt>
                <c:pt idx="68">
                  <c:v>24663</c:v>
                </c:pt>
                <c:pt idx="69">
                  <c:v>34097</c:v>
                </c:pt>
                <c:pt idx="70">
                  <c:v>30890</c:v>
                </c:pt>
                <c:pt idx="71">
                  <c:v>37841</c:v>
                </c:pt>
                <c:pt idx="72">
                  <c:v>35620</c:v>
                </c:pt>
                <c:pt idx="73">
                  <c:v>22493</c:v>
                </c:pt>
                <c:pt idx="74">
                  <c:v>37622</c:v>
                </c:pt>
                <c:pt idx="75">
                  <c:v>5471</c:v>
                </c:pt>
                <c:pt idx="76">
                  <c:v>35479</c:v>
                </c:pt>
                <c:pt idx="77">
                  <c:v>63581</c:v>
                </c:pt>
                <c:pt idx="78">
                  <c:v>37558</c:v>
                </c:pt>
                <c:pt idx="79">
                  <c:v>33009</c:v>
                </c:pt>
                <c:pt idx="80">
                  <c:v>2712</c:v>
                </c:pt>
                <c:pt idx="81">
                  <c:v>19173</c:v>
                </c:pt>
                <c:pt idx="82">
                  <c:v>58206</c:v>
                </c:pt>
                <c:pt idx="83">
                  <c:v>13588</c:v>
                </c:pt>
                <c:pt idx="84">
                  <c:v>4567</c:v>
                </c:pt>
                <c:pt idx="85">
                  <c:v>15282</c:v>
                </c:pt>
                <c:pt idx="86">
                  <c:v>6750</c:v>
                </c:pt>
                <c:pt idx="87">
                  <c:v>19873</c:v>
                </c:pt>
                <c:pt idx="88">
                  <c:v>52600</c:v>
                </c:pt>
                <c:pt idx="89">
                  <c:v>7843</c:v>
                </c:pt>
                <c:pt idx="90">
                  <c:v>35922</c:v>
                </c:pt>
                <c:pt idx="91">
                  <c:v>27503</c:v>
                </c:pt>
                <c:pt idx="92">
                  <c:v>19794</c:v>
                </c:pt>
                <c:pt idx="93">
                  <c:v>37885</c:v>
                </c:pt>
                <c:pt idx="94">
                  <c:v>4804</c:v>
                </c:pt>
                <c:pt idx="95">
                  <c:v>36430</c:v>
                </c:pt>
                <c:pt idx="96">
                  <c:v>53474</c:v>
                </c:pt>
                <c:pt idx="97">
                  <c:v>16797</c:v>
                </c:pt>
                <c:pt idx="98">
                  <c:v>4190</c:v>
                </c:pt>
                <c:pt idx="99">
                  <c:v>7646</c:v>
                </c:pt>
                <c:pt idx="100">
                  <c:v>7942</c:v>
                </c:pt>
                <c:pt idx="101">
                  <c:v>39713</c:v>
                </c:pt>
                <c:pt idx="102">
                  <c:v>23632</c:v>
                </c:pt>
                <c:pt idx="103">
                  <c:v>6043</c:v>
                </c:pt>
                <c:pt idx="104">
                  <c:v>49122</c:v>
                </c:pt>
                <c:pt idx="105">
                  <c:v>35008</c:v>
                </c:pt>
                <c:pt idx="106">
                  <c:v>11882</c:v>
                </c:pt>
                <c:pt idx="107">
                  <c:v>4574</c:v>
                </c:pt>
                <c:pt idx="108">
                  <c:v>51554</c:v>
                </c:pt>
                <c:pt idx="109">
                  <c:v>39656</c:v>
                </c:pt>
                <c:pt idx="110">
                  <c:v>1131</c:v>
                </c:pt>
                <c:pt idx="111">
                  <c:v>14026</c:v>
                </c:pt>
                <c:pt idx="112">
                  <c:v>26518</c:v>
                </c:pt>
                <c:pt idx="113">
                  <c:v>50212</c:v>
                </c:pt>
                <c:pt idx="114">
                  <c:v>5545</c:v>
                </c:pt>
                <c:pt idx="115">
                  <c:v>12079</c:v>
                </c:pt>
                <c:pt idx="116">
                  <c:v>27644</c:v>
                </c:pt>
              </c:numCache>
            </c:numRef>
          </c:val>
        </c:ser>
        <c:dLbls>
          <c:showLegendKey val="0"/>
          <c:showVal val="0"/>
          <c:showCatName val="0"/>
          <c:showSerName val="0"/>
          <c:showPercent val="0"/>
          <c:showBubbleSize val="0"/>
          <c:showLeaderLines val="1"/>
        </c:dLbls>
        <c:gapWidth val="100"/>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layout>
        <c:manualLayout>
          <c:xMode val="edge"/>
          <c:yMode val="edge"/>
          <c:x val="0.75552296587926504"/>
          <c:y val="0.249303732866725"/>
          <c:w val="0.23614370078740157"/>
          <c:h val="0.6141451589384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noFill/>
    <a:ln w="9525" cap="flat" cmpd="sng" algn="ctr">
      <a:noFill/>
      <a:round/>
    </a:ln>
    <a:effectLst>
      <a:innerShdw blurRad="63500" dist="50800" dir="8100000">
        <a:prstClr val="black">
          <a:alpha val="50000"/>
        </a:prstClr>
      </a:innerShdw>
      <a:softEdge rad="6350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33">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50000"/>
            <a:lumOff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40" b="0" kern="1200" spc="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190500</xdr:colOff>
      <xdr:row>2</xdr:row>
      <xdr:rowOff>185737</xdr:rowOff>
    </xdr:from>
    <xdr:to>
      <xdr:col>12</xdr:col>
      <xdr:colOff>495300</xdr:colOff>
      <xdr:row>17</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504825</xdr:colOff>
      <xdr:row>2</xdr:row>
      <xdr:rowOff>4762</xdr:rowOff>
    </xdr:from>
    <xdr:to>
      <xdr:col>11</xdr:col>
      <xdr:colOff>200025</xdr:colOff>
      <xdr:row>16</xdr:row>
      <xdr:rowOff>80962</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238125</xdr:colOff>
      <xdr:row>4</xdr:row>
      <xdr:rowOff>14287</xdr:rowOff>
    </xdr:from>
    <xdr:to>
      <xdr:col>12</xdr:col>
      <xdr:colOff>542925</xdr:colOff>
      <xdr:row>18</xdr:row>
      <xdr:rowOff>90487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171450</xdr:colOff>
      <xdr:row>7</xdr:row>
      <xdr:rowOff>147637</xdr:rowOff>
    </xdr:from>
    <xdr:to>
      <xdr:col>11</xdr:col>
      <xdr:colOff>476250</xdr:colOff>
      <xdr:row>22</xdr:row>
      <xdr:rowOff>33337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7</xdr:col>
      <xdr:colOff>95250</xdr:colOff>
      <xdr:row>11</xdr:row>
      <xdr:rowOff>185737</xdr:rowOff>
    </xdr:from>
    <xdr:to>
      <xdr:col>14</xdr:col>
      <xdr:colOff>400050</xdr:colOff>
      <xdr:row>26</xdr:row>
      <xdr:rowOff>71437</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19049</xdr:colOff>
      <xdr:row>2</xdr:row>
      <xdr:rowOff>47624</xdr:rowOff>
    </xdr:from>
    <xdr:to>
      <xdr:col>10</xdr:col>
      <xdr:colOff>371474</xdr:colOff>
      <xdr:row>11</xdr:row>
      <xdr:rowOff>180975</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571499</xdr:colOff>
      <xdr:row>2</xdr:row>
      <xdr:rowOff>9525</xdr:rowOff>
    </xdr:from>
    <xdr:to>
      <xdr:col>23</xdr:col>
      <xdr:colOff>285750</xdr:colOff>
      <xdr:row>11</xdr:row>
      <xdr:rowOff>133350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276225</xdr:colOff>
      <xdr:row>1</xdr:row>
      <xdr:rowOff>133351</xdr:rowOff>
    </xdr:from>
    <xdr:to>
      <xdr:col>17</xdr:col>
      <xdr:colOff>390524</xdr:colOff>
      <xdr:row>13</xdr:row>
      <xdr:rowOff>171451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495300</xdr:colOff>
      <xdr:row>13</xdr:row>
      <xdr:rowOff>0</xdr:rowOff>
    </xdr:from>
    <xdr:to>
      <xdr:col>15</xdr:col>
      <xdr:colOff>104775</xdr:colOff>
      <xdr:row>24</xdr:row>
      <xdr:rowOff>114300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419100</xdr:colOff>
      <xdr:row>13</xdr:row>
      <xdr:rowOff>47625</xdr:rowOff>
    </xdr:from>
    <xdr:to>
      <xdr:col>22</xdr:col>
      <xdr:colOff>381000</xdr:colOff>
      <xdr:row>25</xdr:row>
      <xdr:rowOff>66675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xdr:col>
      <xdr:colOff>581025</xdr:colOff>
      <xdr:row>27</xdr:row>
      <xdr:rowOff>66676</xdr:rowOff>
    </xdr:from>
    <xdr:to>
      <xdr:col>5</xdr:col>
      <xdr:colOff>581025</xdr:colOff>
      <xdr:row>34</xdr:row>
      <xdr:rowOff>180976</xdr:rowOff>
    </xdr:to>
    <mc:AlternateContent xmlns:mc="http://schemas.openxmlformats.org/markup-compatibility/2006">
      <mc:Choice xmlns:a14="http://schemas.microsoft.com/office/drawing/2010/main" Requires="a14">
        <xdr:graphicFrame macro="">
          <xdr:nvGraphicFramePr>
            <xdr:cNvPr id="7" name="Party"/>
            <xdr:cNvGraphicFramePr/>
          </xdr:nvGraphicFramePr>
          <xdr:xfrm>
            <a:off x="0" y="0"/>
            <a:ext cx="0" cy="0"/>
          </xdr:xfrm>
          <a:graphic>
            <a:graphicData uri="http://schemas.microsoft.com/office/drawing/2010/slicer">
              <sle:slicer xmlns:sle="http://schemas.microsoft.com/office/drawing/2010/slicer" name="Party"/>
            </a:graphicData>
          </a:graphic>
        </xdr:graphicFrame>
      </mc:Choice>
      <mc:Fallback>
        <xdr:sp macro="" textlink="">
          <xdr:nvSpPr>
            <xdr:cNvPr id="0" name=""/>
            <xdr:cNvSpPr>
              <a:spLocks noTextEdit="1"/>
            </xdr:cNvSpPr>
          </xdr:nvSpPr>
          <xdr:spPr>
            <a:xfrm>
              <a:off x="2343150" y="5591176"/>
              <a:ext cx="182880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133350</xdr:colOff>
      <xdr:row>27</xdr:row>
      <xdr:rowOff>76201</xdr:rowOff>
    </xdr:from>
    <xdr:to>
      <xdr:col>9</xdr:col>
      <xdr:colOff>133350</xdr:colOff>
      <xdr:row>34</xdr:row>
      <xdr:rowOff>133350</xdr:rowOff>
    </xdr:to>
    <mc:AlternateContent xmlns:mc="http://schemas.openxmlformats.org/markup-compatibility/2006">
      <mc:Choice xmlns:a14="http://schemas.microsoft.com/office/drawing/2010/main" Requires="a14">
        <xdr:graphicFrame macro="">
          <xdr:nvGraphicFramePr>
            <xdr:cNvPr id="8" name="Region"/>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4333875" y="5600701"/>
              <a:ext cx="1828800" cy="13906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361950</xdr:colOff>
      <xdr:row>27</xdr:row>
      <xdr:rowOff>28575</xdr:rowOff>
    </xdr:from>
    <xdr:to>
      <xdr:col>12</xdr:col>
      <xdr:colOff>361950</xdr:colOff>
      <xdr:row>35</xdr:row>
      <xdr:rowOff>133350</xdr:rowOff>
    </xdr:to>
    <mc:AlternateContent xmlns:mc="http://schemas.openxmlformats.org/markup-compatibility/2006">
      <mc:Choice xmlns:a14="http://schemas.microsoft.com/office/drawing/2010/main" Requires="a14">
        <xdr:graphicFrame macro="">
          <xdr:nvGraphicFramePr>
            <xdr:cNvPr id="9" name="District"/>
            <xdr:cNvGraphicFramePr/>
          </xdr:nvGraphicFramePr>
          <xdr:xfrm>
            <a:off x="0" y="0"/>
            <a:ext cx="0" cy="0"/>
          </xdr:xfrm>
          <a:graphic>
            <a:graphicData uri="http://schemas.microsoft.com/office/drawing/2010/slicer">
              <sle:slicer xmlns:sle="http://schemas.microsoft.com/office/drawing/2010/slicer" name="District"/>
            </a:graphicData>
          </a:graphic>
        </xdr:graphicFrame>
      </mc:Choice>
      <mc:Fallback>
        <xdr:sp macro="" textlink="">
          <xdr:nvSpPr>
            <xdr:cNvPr id="0" name=""/>
            <xdr:cNvSpPr>
              <a:spLocks noTextEdit="1"/>
            </xdr:cNvSpPr>
          </xdr:nvSpPr>
          <xdr:spPr>
            <a:xfrm>
              <a:off x="6391275" y="5553075"/>
              <a:ext cx="1828800" cy="16287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cgc" refreshedDate="46189.585062500002" createdVersion="5" refreshedVersion="5" minRefreshableVersion="3" recordCount="117">
  <cacheSource type="worksheet">
    <worksheetSource name="Table1"/>
  </cacheSource>
  <cacheFields count="25">
    <cacheField name="C.No." numFmtId="0">
      <sharedItems containsSemiMixedTypes="0" containsString="0" containsNumber="1" containsInteger="1" minValue="1" maxValue="117"/>
    </cacheField>
    <cacheField name="Constituency" numFmtId="0">
      <sharedItems count="117">
        <s v="Sujanpur"/>
        <s v="Bhoa"/>
        <s v="Pathankot"/>
        <s v="Gurdaspur"/>
        <s v="Dina Nagar"/>
        <s v="Qadian"/>
        <s v="Batala"/>
        <s v="Sri Hargobindpur"/>
        <s v="Fatehgarh Churian"/>
        <s v="Dera Baba Nanak"/>
        <s v="Ajnala"/>
        <s v="Raja Sansi"/>
        <s v="Majitha"/>
        <s v="Jandiala"/>
        <s v="Amritsar North"/>
        <s v="Amritsar West"/>
        <s v="Amritsar Central"/>
        <s v="Amritsar East"/>
        <s v="Amritsar South"/>
        <s v="Attari"/>
        <s v="Tarn Taran"/>
        <s v="Khem Karan"/>
        <s v="Patti"/>
        <s v="Khadoor Sahib"/>
        <s v="Baba Bakala"/>
        <s v="Bholath"/>
        <s v="Kapurthala"/>
        <s v="Sultanpur Lodhi"/>
        <s v="Phagwara"/>
        <s v="Phillaur"/>
        <s v="Nakodar"/>
        <s v="Shahkot"/>
        <s v="Kartarpur"/>
        <s v="Jalandhar West"/>
        <s v="Jalandhar Central"/>
        <s v="Jalandhar North"/>
        <s v="Jalandhar Cantt."/>
        <s v="Adampur"/>
        <s v="Mukerian"/>
        <s v="Dasuya"/>
        <s v="Urmar"/>
        <s v="Sham Chaurasi"/>
        <s v="Hoshiarpur"/>
        <s v="Chabbewal"/>
        <s v="Garhshankar"/>
        <s v="Banga"/>
        <s v="Nawan Shahr"/>
        <s v="Balachaur"/>
        <s v="Anandpur Sahib"/>
        <s v="Rupnagar"/>
        <s v="Chamkaur Sahib"/>
        <s v="Kharar"/>
        <s v="S.A.S. Nagar"/>
        <s v="Bassi Pathana"/>
        <s v="Fatehgarh Sahib"/>
        <s v="Amloh"/>
        <s v="Khanna"/>
        <s v="Samrala"/>
        <s v="Sahnewal"/>
        <s v="Ludhiana East"/>
        <s v="Ludhiana South"/>
        <s v="Atam Nagar"/>
        <s v="Ludhiana Central"/>
        <s v="Ludhiana West"/>
        <s v="Ludhiana North"/>
        <s v="Gill"/>
        <s v="Payal"/>
        <s v="Dakha"/>
        <s v="Raikot"/>
        <s v="Jagraon"/>
        <s v="Nihal Singhwala"/>
        <s v="Bhagha Purana"/>
        <s v="Moga"/>
        <s v="Dharamkot"/>
        <s v="Zira"/>
        <s v="Firozpur City"/>
        <s v="Firozpur Rural"/>
        <s v="Guru Har Sahai"/>
        <s v="Jalalabad"/>
        <s v="Fazilka"/>
        <s v="Abohar"/>
        <s v="Balluana"/>
        <s v="Lambi"/>
        <s v="Gidderbaha"/>
        <s v="Malout"/>
        <s v="Muktsar"/>
        <s v="Faridkot"/>
        <s v="Kotkapura"/>
        <s v="Jaitu"/>
        <s v="Rampura Phul"/>
        <s v="Bhucho Mandi"/>
        <s v="Bathinda Urban"/>
        <s v="Bathinda Rural"/>
        <s v="Talwandi Sabo"/>
        <s v="Maur"/>
        <s v="Mansa"/>
        <s v="Sardulgarh"/>
        <s v="Budhlada"/>
        <s v="Lehra"/>
        <s v="Dirba"/>
        <s v="Sunam"/>
        <s v="Bhadaur"/>
        <s v="Barnala"/>
        <s v="Mehal Kalan"/>
        <s v="Malerkotla"/>
        <s v="Amargarh"/>
        <s v="Dhuri"/>
        <s v="Sangrur"/>
        <s v="Nabha"/>
        <s v="Patiala Rural"/>
        <s v="Rajpura"/>
        <s v="Dera Bassi"/>
        <s v="Ghanaur"/>
        <s v="Sanour"/>
        <s v="Patiala"/>
        <s v="Samana"/>
        <s v="Shutrana"/>
      </sharedItems>
    </cacheField>
    <cacheField name="Winner" numFmtId="0">
      <sharedItems/>
    </cacheField>
    <cacheField name="Region" numFmtId="0">
      <sharedItems count="3">
        <s v="Majha"/>
        <s v="Doaba"/>
        <s v="Malwa"/>
      </sharedItems>
    </cacheField>
    <cacheField name="District" numFmtId="0">
      <sharedItems count="23">
        <s v="Pathankot"/>
        <s v="Gurdaspur"/>
        <s v="Amritsar"/>
        <s v="Taran Taran"/>
        <s v="Kapurthala"/>
        <s v="Jalandhar"/>
        <s v="Hoshiarpur"/>
        <s v="S.B.S. Nagar"/>
        <s v="Rupnagar"/>
        <s v="S.A.S. Nagar"/>
        <s v="Fatehgarh Sahib"/>
        <s v="Ludhiana"/>
        <s v="Moga"/>
        <s v="Ferozpur"/>
        <s v="Fazilka"/>
        <s v="Sri Muktsar Sahib"/>
        <s v="Faridkot"/>
        <s v="Bathinda"/>
        <s v="Mansa"/>
        <s v="Sangrur"/>
        <s v="Barnala"/>
        <s v="Malerkotla"/>
        <s v="Patiala"/>
      </sharedItems>
    </cacheField>
    <cacheField name="Sex" numFmtId="0">
      <sharedItems count="2">
        <s v="F"/>
        <s v="M"/>
      </sharedItems>
    </cacheField>
    <cacheField name="Age" numFmtId="0">
      <sharedItems containsSemiMixedTypes="0" containsString="0" containsNumber="1" containsInteger="1" minValue="27" maxValue="78"/>
    </cacheField>
    <cacheField name="Party" numFmtId="0">
      <sharedItems count="6">
        <s v="INC"/>
        <s v="SAD"/>
        <s v="AAAP"/>
        <s v="BJP"/>
        <s v="IND"/>
        <s v="BSP"/>
      </sharedItems>
    </cacheField>
    <cacheField name="Category" numFmtId="0">
      <sharedItems/>
    </cacheField>
    <cacheField name="Total Voters" numFmtId="0">
      <sharedItems containsSemiMixedTypes="0" containsString="0" containsNumber="1" containsInteger="1" minValue="136892" maxValue="288440"/>
    </cacheField>
    <cacheField name="Total Polled Votes" numFmtId="0">
      <sharedItems containsSemiMixedTypes="0" containsString="0" containsNumber="1" containsInteger="1" minValue="87205" maxValue="199529"/>
    </cacheField>
    <cacheField name="General Votes(W) " numFmtId="0">
      <sharedItems containsSemiMixedTypes="0" containsString="0" containsNumber="1" containsInteger="1" minValue="32045" maxValue="99200"/>
    </cacheField>
    <cacheField name="Postal Votes(W)" numFmtId="0">
      <sharedItems containsSemiMixedTypes="0" containsString="0" containsNumber="1" containsInteger="1" minValue="70" maxValue="1548"/>
    </cacheField>
    <cacheField name="Total Votes Received(W)" numFmtId="0">
      <sharedItems containsSemiMixedTypes="0" containsString="0" containsNumber="1" containsInteger="1" minValue="32341" maxValue="100023"/>
    </cacheField>
    <cacheField name="Runner Up" numFmtId="0">
      <sharedItems/>
    </cacheField>
    <cacheField name="Party(R)" numFmtId="0">
      <sharedItems/>
    </cacheField>
    <cacheField name="Votes Received(R)" numFmtId="0">
      <sharedItems containsSemiMixedTypes="0" containsString="0" containsNumber="1" containsInteger="1" minValue="16177" maxValue="62306"/>
    </cacheField>
    <cacheField name="Gap(W-R)" numFmtId="0">
      <sharedItems containsSemiMixedTypes="0" containsString="0" containsNumber="1" containsInteger="1" minValue="247" maxValue="75277"/>
    </cacheField>
    <cacheField name="highs win" numFmtId="0">
      <sharedItems containsNonDate="0" containsString="0" containsBlank="1"/>
    </cacheField>
    <cacheField name="add" numFmtId="0">
      <sharedItems containsNonDate="0" containsString="0" containsBlank="1"/>
    </cacheField>
    <cacheField name="total  constituencies" numFmtId="0">
      <sharedItems containsSemiMixedTypes="0" containsString="0" containsNumber="1" containsInteger="1" minValue="1" maxValue="117"/>
    </cacheField>
    <cacheField name="Total winning candidates" numFmtId="0">
      <sharedItems containsSemiMixedTypes="0" containsString="0" containsNumber="1" containsInteger="1" minValue="1" maxValue="117"/>
    </cacheField>
    <cacheField name="high vote" numFmtId="0">
      <sharedItems containsSemiMixedTypes="0" containsString="0" containsNumber="1" containsInteger="1" minValue="81751" maxValue="100023"/>
    </cacheField>
    <cacheField name="lowest votes" numFmtId="0">
      <sharedItems containsSemiMixedTypes="0" containsString="0" containsNumber="1" containsInteger="1" minValue="32341" maxValue="81751"/>
    </cacheField>
    <cacheField name="total vote polled" numFmtId="0">
      <sharedItems containsSemiMixedTypes="0" containsString="0" containsNumber="1" containsInteger="1" minValue="137739" maxValue="15563732"/>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7">
  <r>
    <n v="1"/>
    <x v="0"/>
    <s v="NARESH PURI"/>
    <x v="0"/>
    <x v="0"/>
    <x v="0"/>
    <n v="64"/>
    <x v="0"/>
    <s v="SC"/>
    <n v="196692"/>
    <n v="139708"/>
    <n v="50547"/>
    <n v="586"/>
    <n v="51133"/>
    <s v="SHAMSHER SINGH"/>
    <s v="AAAP"/>
    <n v="50002"/>
    <n v="1131"/>
    <m/>
    <m/>
    <n v="117"/>
    <n v="117"/>
    <n v="100023"/>
    <n v="32341"/>
    <n v="15563732"/>
  </r>
  <r>
    <n v="2"/>
    <x v="1"/>
    <s v="LAL CHAND"/>
    <x v="0"/>
    <x v="0"/>
    <x v="0"/>
    <n v="46"/>
    <x v="1"/>
    <s v="GENERAL"/>
    <n v="167775"/>
    <n v="122152"/>
    <n v="56839"/>
    <n v="188"/>
    <n v="57027"/>
    <s v="Sukhjinder Raj Singh (Lalli)"/>
    <s v="AAAP"/>
    <n v="30965"/>
    <n v="26062"/>
    <m/>
    <m/>
    <n v="116"/>
    <n v="116"/>
    <n v="100023"/>
    <n v="32341"/>
    <n v="15424024"/>
  </r>
  <r>
    <n v="3"/>
    <x v="2"/>
    <s v="ASHWANI KUMAR SHARMA"/>
    <x v="0"/>
    <x v="0"/>
    <x v="0"/>
    <n v="50"/>
    <x v="2"/>
    <s v="GENERAL"/>
    <n v="168300"/>
    <n v="108003"/>
    <n v="39520"/>
    <n v="159"/>
    <n v="39679"/>
    <s v="NAVJOT SINGH SIDHU"/>
    <s v="INC"/>
    <n v="32929"/>
    <n v="6750"/>
    <m/>
    <m/>
    <n v="115"/>
    <n v="115"/>
    <n v="100023"/>
    <n v="32341"/>
    <n v="15301872"/>
  </r>
  <r>
    <n v="4"/>
    <x v="3"/>
    <s v="BARINDERMEET SINGH PAHRA"/>
    <x v="0"/>
    <x v="1"/>
    <x v="0"/>
    <n v="53"/>
    <x v="2"/>
    <s v="GENERAL"/>
    <n v="194933"/>
    <n v="134163"/>
    <n v="42689"/>
    <n v="179"/>
    <n v="42868"/>
    <s v="Gurpartap Singh Wadala"/>
    <s v="SAD"/>
    <n v="39999"/>
    <n v="2869"/>
    <m/>
    <m/>
    <n v="114"/>
    <n v="114"/>
    <n v="100023"/>
    <n v="32341"/>
    <n v="15193869"/>
  </r>
  <r>
    <n v="5"/>
    <x v="4"/>
    <s v="ARUNA CHAUDHARY"/>
    <x v="0"/>
    <x v="1"/>
    <x v="0"/>
    <n v="55"/>
    <x v="2"/>
    <s v="GENERAL"/>
    <n v="156218"/>
    <n v="114964"/>
    <n v="39168"/>
    <n v="465"/>
    <n v="39633"/>
    <s v="SUNITA RANI"/>
    <s v="SAD"/>
    <n v="35092"/>
    <n v="4541"/>
    <m/>
    <m/>
    <n v="113"/>
    <n v="113"/>
    <n v="100023"/>
    <n v="32341"/>
    <n v="15059706"/>
  </r>
  <r>
    <n v="6"/>
    <x v="5"/>
    <s v="PARTAP SINGH BAJWA"/>
    <x v="0"/>
    <x v="1"/>
    <x v="0"/>
    <n v="31"/>
    <x v="2"/>
    <s v="GENERAL"/>
    <n v="267219"/>
    <n v="176684"/>
    <n v="78067"/>
    <n v="206"/>
    <n v="78273"/>
    <s v="Ranjit Singh Gill"/>
    <s v="SAD"/>
    <n v="40388"/>
    <n v="37885"/>
    <m/>
    <m/>
    <n v="112"/>
    <n v="112"/>
    <n v="100023"/>
    <n v="32341"/>
    <n v="14944742"/>
  </r>
  <r>
    <n v="7"/>
    <x v="6"/>
    <s v="AMANSHER SINGH (SHERY KALSI)"/>
    <x v="0"/>
    <x v="1"/>
    <x v="0"/>
    <n v="56"/>
    <x v="2"/>
    <s v="GENERAL"/>
    <n v="178311"/>
    <n v="105427"/>
    <n v="43697"/>
    <n v="114"/>
    <n v="43811"/>
    <s v="SATINDERPAL SINGH TAJPURI"/>
    <s v="BJP"/>
    <n v="17673"/>
    <n v="26138"/>
    <m/>
    <m/>
    <n v="111"/>
    <n v="111"/>
    <n v="100023"/>
    <n v="32341"/>
    <n v="14768058"/>
  </r>
  <r>
    <n v="8"/>
    <x v="7"/>
    <s v="AMARPAL SINGH"/>
    <x v="0"/>
    <x v="1"/>
    <x v="0"/>
    <n v="49"/>
    <x v="2"/>
    <s v="SC"/>
    <n v="185401"/>
    <n v="125503"/>
    <n v="64749"/>
    <n v="446"/>
    <n v="65195"/>
    <s v="S.R. KALER"/>
    <s v="SAD"/>
    <n v="25539"/>
    <n v="39656"/>
    <m/>
    <m/>
    <n v="110"/>
    <n v="110"/>
    <n v="100023"/>
    <n v="32341"/>
    <n v="14662631"/>
  </r>
  <r>
    <n v="9"/>
    <x v="8"/>
    <s v="TRIPT RAJINDER SINGH BAJWA"/>
    <x v="0"/>
    <x v="1"/>
    <x v="0"/>
    <n v="39"/>
    <x v="2"/>
    <s v="GENERAL"/>
    <n v="203919"/>
    <n v="144232"/>
    <n v="58813"/>
    <n v="336"/>
    <n v="59149"/>
    <s v="MALVIKA SOOD"/>
    <s v="INC"/>
    <n v="38234"/>
    <n v="20915"/>
    <m/>
    <m/>
    <n v="109"/>
    <n v="109"/>
    <n v="100023"/>
    <n v="32341"/>
    <n v="14537128"/>
  </r>
  <r>
    <n v="10"/>
    <x v="9"/>
    <s v="SUKHJINDER SINGH RANDHAWA"/>
    <x v="0"/>
    <x v="1"/>
    <x v="0"/>
    <n v="46"/>
    <x v="2"/>
    <s v="SC"/>
    <n v="176928"/>
    <n v="139167"/>
    <n v="76460"/>
    <n v="910"/>
    <n v="77370"/>
    <s v="Harpreet Singh"/>
    <s v="SAD"/>
    <n v="37109"/>
    <n v="40261"/>
    <m/>
    <m/>
    <n v="108"/>
    <n v="108"/>
    <n v="100023"/>
    <n v="32341"/>
    <n v="14392896"/>
  </r>
  <r>
    <n v="11"/>
    <x v="10"/>
    <s v="KULDEEP SINGH DHALIWAL"/>
    <x v="0"/>
    <x v="2"/>
    <x v="0"/>
    <n v="37"/>
    <x v="2"/>
    <s v="GENERAL"/>
    <n v="157176"/>
    <n v="131606"/>
    <n v="48358"/>
    <n v="395"/>
    <n v="48753"/>
    <s v="Jeetmohinder Singh Sidhu"/>
    <s v="SAD"/>
    <n v="33501"/>
    <n v="15252"/>
    <m/>
    <m/>
    <n v="107"/>
    <n v="107"/>
    <n v="100023"/>
    <n v="32341"/>
    <n v="14253729"/>
  </r>
  <r>
    <n v="12"/>
    <x v="11"/>
    <s v="SUKHBINDER SINGH SARKARIA"/>
    <x v="0"/>
    <x v="2"/>
    <x v="0"/>
    <n v="27"/>
    <x v="2"/>
    <s v="GENERAL"/>
    <n v="190530"/>
    <n v="144873"/>
    <n v="74047"/>
    <n v="804"/>
    <n v="74851"/>
    <s v="Vijay Inder Singla"/>
    <s v="INC"/>
    <n v="38421"/>
    <n v="36430"/>
    <m/>
    <m/>
    <n v="106"/>
    <n v="106"/>
    <n v="100023"/>
    <n v="32341"/>
    <n v="14122123"/>
  </r>
  <r>
    <n v="13"/>
    <x v="12"/>
    <s v="Ganieve Kaur Majithia"/>
    <x v="0"/>
    <x v="2"/>
    <x v="0"/>
    <n v="50"/>
    <x v="2"/>
    <s v="GENERAL"/>
    <n v="182694"/>
    <n v="136759"/>
    <n v="54617"/>
    <n v="217"/>
    <n v="54834"/>
    <s v="Jagdish Kumar Jagga"/>
    <s v="BJP"/>
    <n v="32341"/>
    <n v="22493"/>
    <m/>
    <m/>
    <n v="105"/>
    <n v="105"/>
    <n v="100023"/>
    <n v="32341"/>
    <n v="13977250"/>
  </r>
  <r>
    <n v="14"/>
    <x v="13"/>
    <s v="HARBHAJAN SINGH E.T.O."/>
    <x v="0"/>
    <x v="2"/>
    <x v="1"/>
    <n v="52"/>
    <x v="0"/>
    <s v="GENERAL"/>
    <n v="170312"/>
    <n v="129351"/>
    <n v="46456"/>
    <n v="460"/>
    <n v="46916"/>
    <s v="DINESH SINGH (BABBU)"/>
    <s v="BJP"/>
    <n v="42280"/>
    <n v="4636"/>
    <m/>
    <m/>
    <n v="104"/>
    <n v="104"/>
    <n v="100023"/>
    <n v="32341"/>
    <n v="13840491"/>
  </r>
  <r>
    <n v="15"/>
    <x v="14"/>
    <s v="KUNWAR VIJAY PRATAP SINGH"/>
    <x v="0"/>
    <x v="2"/>
    <x v="1"/>
    <n v="51"/>
    <x v="2"/>
    <s v="SC"/>
    <n v="186914"/>
    <n v="137572"/>
    <n v="49504"/>
    <n v="835"/>
    <n v="50339"/>
    <s v="JOGINDER PAL"/>
    <s v="INC"/>
    <n v="49135"/>
    <n v="1204"/>
    <m/>
    <m/>
    <n v="103"/>
    <n v="103"/>
    <n v="100023"/>
    <n v="32341"/>
    <n v="13711140"/>
  </r>
  <r>
    <n v="16"/>
    <x v="15"/>
    <s v="DR. JASBIR SINGH SANDHU"/>
    <x v="0"/>
    <x v="2"/>
    <x v="1"/>
    <n v="57"/>
    <x v="3"/>
    <s v="GENERAL"/>
    <n v="153731"/>
    <n v="113480"/>
    <n v="42787"/>
    <n v="345"/>
    <n v="43132"/>
    <s v="AMIT VIJ"/>
    <s v="INC"/>
    <n v="35373"/>
    <n v="7759"/>
    <m/>
    <m/>
    <n v="102"/>
    <n v="102"/>
    <n v="100023"/>
    <n v="32341"/>
    <n v="13573568"/>
  </r>
  <r>
    <n v="17"/>
    <x v="16"/>
    <s v="AJAY GUPTA"/>
    <x v="0"/>
    <x v="2"/>
    <x v="1"/>
    <n v="41"/>
    <x v="0"/>
    <s v="GENERAL"/>
    <n v="171576"/>
    <n v="124152"/>
    <n v="42955"/>
    <n v="788"/>
    <n v="43743"/>
    <s v="GURBACHAN SINGH BABEHALI"/>
    <s v="SAD"/>
    <n v="36408"/>
    <n v="7335"/>
    <m/>
    <m/>
    <n v="101"/>
    <n v="101"/>
    <n v="100023"/>
    <n v="32341"/>
    <n v="13460088"/>
  </r>
  <r>
    <n v="18"/>
    <x v="17"/>
    <s v="JEEVAN JYOT KAUR"/>
    <x v="0"/>
    <x v="2"/>
    <x v="1"/>
    <n v="65"/>
    <x v="0"/>
    <s v="GENERAL"/>
    <n v="184557"/>
    <n v="133183"/>
    <n v="48116"/>
    <n v="563"/>
    <n v="48679"/>
    <s v="GURIQBAL SINGH MAHAL"/>
    <s v="SAD"/>
    <n v="41505"/>
    <n v="7174"/>
    <m/>
    <m/>
    <n v="100"/>
    <n v="100"/>
    <n v="100023"/>
    <n v="32341"/>
    <n v="13335936"/>
  </r>
  <r>
    <n v="19"/>
    <x v="18"/>
    <s v="INDERBIR SINGH NIJJAR"/>
    <x v="0"/>
    <x v="2"/>
    <x v="1"/>
    <n v="34"/>
    <x v="2"/>
    <s v="GENERAL"/>
    <n v="189736"/>
    <n v="127545"/>
    <n v="55174"/>
    <n v="396"/>
    <n v="55570"/>
    <s v="ASHWANI SEKHRI"/>
    <s v="INC"/>
    <n v="27098"/>
    <n v="28472"/>
    <m/>
    <m/>
    <n v="99"/>
    <n v="99"/>
    <n v="100023"/>
    <n v="32341"/>
    <n v="13202753"/>
  </r>
  <r>
    <n v="20"/>
    <x v="19"/>
    <s v="JASWINDER SINGH"/>
    <x v="0"/>
    <x v="2"/>
    <x v="1"/>
    <n v="37"/>
    <x v="2"/>
    <s v="SC"/>
    <n v="181209"/>
    <n v="124473"/>
    <n v="52616"/>
    <n v="589"/>
    <n v="53205"/>
    <s v="RAJANBIR SINGH"/>
    <s v="SAD"/>
    <n v="36242"/>
    <n v="16963"/>
    <m/>
    <m/>
    <n v="98"/>
    <n v="98"/>
    <n v="100023"/>
    <n v="32341"/>
    <n v="13075208"/>
  </r>
  <r>
    <n v="21"/>
    <x v="20"/>
    <s v="Dr. Kashmir Singh Sohal"/>
    <x v="0"/>
    <x v="3"/>
    <x v="1"/>
    <n v="78"/>
    <x v="0"/>
    <s v="GENERAL"/>
    <n v="177849"/>
    <n v="128822"/>
    <n v="46148"/>
    <n v="163"/>
    <n v="46311"/>
    <s v="LAKHBIR SINGH LODHINANGAL"/>
    <s v="SAD"/>
    <n v="40766"/>
    <n v="5545"/>
    <m/>
    <m/>
    <n v="97"/>
    <n v="97"/>
    <n v="100023"/>
    <n v="32341"/>
    <n v="12950735"/>
  </r>
  <r>
    <n v="22"/>
    <x v="21"/>
    <s v="SARVAN SINGH DHUN"/>
    <x v="0"/>
    <x v="3"/>
    <x v="1"/>
    <n v="62"/>
    <x v="0"/>
    <s v="GENERAL"/>
    <n v="197081"/>
    <n v="144359"/>
    <n v="52361"/>
    <n v="194"/>
    <n v="52555"/>
    <s v="RAVIKARAN SINGH KAHLON"/>
    <s v="SAD"/>
    <n v="52089"/>
    <n v="466"/>
    <m/>
    <m/>
    <n v="96"/>
    <n v="96"/>
    <n v="100023"/>
    <n v="32341"/>
    <n v="12821913"/>
  </r>
  <r>
    <n v="23"/>
    <x v="22"/>
    <s v="Laljit Singh Bhullar"/>
    <x v="0"/>
    <x v="3"/>
    <x v="1"/>
    <n v="60"/>
    <x v="2"/>
    <s v="GENERAL"/>
    <n v="158691"/>
    <n v="122038"/>
    <n v="43257"/>
    <n v="298"/>
    <n v="43555"/>
    <s v="AMARPAL SINGH BONNY AJNALA"/>
    <s v="SAD"/>
    <n v="35712"/>
    <n v="7843"/>
    <m/>
    <m/>
    <n v="95"/>
    <n v="95"/>
    <n v="100023"/>
    <n v="32341"/>
    <n v="12677554"/>
  </r>
  <r>
    <n v="24"/>
    <x v="23"/>
    <s v="MANJINDER SINGH LALPURA"/>
    <x v="0"/>
    <x v="3"/>
    <x v="1"/>
    <n v="66"/>
    <x v="0"/>
    <s v="GENERAL"/>
    <n v="178829"/>
    <n v="133615"/>
    <n v="46802"/>
    <n v="70"/>
    <n v="46872"/>
    <s v="VIR SINGH LOPOKE"/>
    <s v="SAD"/>
    <n v="41398"/>
    <n v="5474"/>
    <m/>
    <m/>
    <n v="94"/>
    <n v="94"/>
    <n v="100023"/>
    <n v="32341"/>
    <n v="12555516"/>
  </r>
  <r>
    <n v="25"/>
    <x v="24"/>
    <s v="DALBIR SINGH TONG"/>
    <x v="0"/>
    <x v="2"/>
    <x v="1"/>
    <n v="53"/>
    <x v="2"/>
    <s v="SC"/>
    <n v="182255"/>
    <n v="128681"/>
    <n v="59301"/>
    <n v="423"/>
    <n v="59724"/>
    <s v="SUKHWINDER SINGH &quot;DANNY&quot; BANDALA"/>
    <s v="INC"/>
    <n v="34341"/>
    <n v="25383"/>
    <m/>
    <m/>
    <n v="93"/>
    <n v="93"/>
    <n v="100023"/>
    <n v="32341"/>
    <n v="12421901"/>
  </r>
  <r>
    <n v="26"/>
    <x v="25"/>
    <s v="SUKHPAL SINGH KHAIRA"/>
    <x v="1"/>
    <x v="4"/>
    <x v="1"/>
    <n v="52"/>
    <x v="2"/>
    <s v="GENERAL"/>
    <n v="202365"/>
    <n v="123752"/>
    <n v="57830"/>
    <n v="303"/>
    <n v="58133"/>
    <s v="ANIL JOSHI"/>
    <s v="SAD"/>
    <n v="29815"/>
    <n v="28318"/>
    <m/>
    <m/>
    <n v="92"/>
    <n v="92"/>
    <n v="100023"/>
    <n v="32341"/>
    <n v="12293220"/>
  </r>
  <r>
    <n v="27"/>
    <x v="26"/>
    <s v="Rana Gurjeet Singh"/>
    <x v="1"/>
    <x v="4"/>
    <x v="1"/>
    <n v="44"/>
    <x v="2"/>
    <s v="SC"/>
    <n v="214566"/>
    <n v="118606"/>
    <n v="68848"/>
    <n v="403"/>
    <n v="69251"/>
    <s v="RAJ KUMAR VERKA"/>
    <s v="INC"/>
    <n v="25338"/>
    <n v="43913"/>
    <m/>
    <m/>
    <n v="91"/>
    <n v="91"/>
    <n v="100023"/>
    <n v="32341"/>
    <n v="12169468"/>
  </r>
  <r>
    <n v="28"/>
    <x v="27"/>
    <s v="RANA INDER PARTAP SINGH"/>
    <x v="1"/>
    <x v="4"/>
    <x v="1"/>
    <n v="61"/>
    <x v="2"/>
    <s v="GENERAL"/>
    <n v="147190"/>
    <n v="87205"/>
    <n v="40748"/>
    <n v="89"/>
    <n v="40837"/>
    <s v="OM PARKASH SONI"/>
    <s v="INC"/>
    <n v="26811"/>
    <n v="14026"/>
    <m/>
    <m/>
    <n v="90"/>
    <n v="90"/>
    <n v="100023"/>
    <n v="32341"/>
    <n v="12050862"/>
  </r>
  <r>
    <n v="29"/>
    <x v="28"/>
    <s v="Balwinder Singh Dhaliwal"/>
    <x v="1"/>
    <x v="4"/>
    <x v="1"/>
    <n v="66"/>
    <x v="2"/>
    <s v="GENERAL"/>
    <n v="177731"/>
    <n v="105885"/>
    <n v="52907"/>
    <n v="146"/>
    <n v="53053"/>
    <s v="TALBIR SINGH GILL"/>
    <s v="SAD"/>
    <n v="25550"/>
    <n v="27503"/>
    <m/>
    <m/>
    <n v="89"/>
    <n v="89"/>
    <n v="100023"/>
    <n v="32341"/>
    <n v="11963657"/>
  </r>
  <r>
    <n v="30"/>
    <x v="29"/>
    <s v="Vikramjit Singh Chaudhary"/>
    <x v="1"/>
    <x v="5"/>
    <x v="1"/>
    <n v="69"/>
    <x v="2"/>
    <s v="SC"/>
    <n v="190537"/>
    <n v="128145"/>
    <n v="56515"/>
    <n v="283"/>
    <n v="56798"/>
    <s v="GULZAR SINGH RANIKE"/>
    <s v="SAD"/>
    <n v="37004"/>
    <n v="19794"/>
    <m/>
    <m/>
    <n v="88"/>
    <n v="88"/>
    <n v="100023"/>
    <n v="32341"/>
    <n v="11857772"/>
  </r>
  <r>
    <n v="31"/>
    <x v="30"/>
    <s v="Inderjit Kaur Mann"/>
    <x v="1"/>
    <x v="5"/>
    <x v="1"/>
    <n v="62"/>
    <x v="2"/>
    <s v="GENERAL"/>
    <n v="198446"/>
    <n v="130874"/>
    <n v="52469"/>
    <n v="466"/>
    <n v="52935"/>
    <s v="Harmeet Singh Sandhu"/>
    <s v="SAD"/>
    <n v="39347"/>
    <n v="13588"/>
    <m/>
    <m/>
    <n v="87"/>
    <n v="87"/>
    <n v="100023"/>
    <n v="32341"/>
    <n v="11729627"/>
  </r>
  <r>
    <n v="32"/>
    <x v="31"/>
    <s v="Hardev Singh Laddi"/>
    <x v="1"/>
    <x v="5"/>
    <x v="1"/>
    <n v="46"/>
    <x v="2"/>
    <s v="GENERAL"/>
    <n v="218055"/>
    <n v="154988"/>
    <n v="64011"/>
    <n v="530"/>
    <n v="64541"/>
    <s v="Virsa Singh Valtoha"/>
    <s v="SAD"/>
    <n v="52659"/>
    <n v="11882"/>
    <m/>
    <m/>
    <n v="86"/>
    <n v="86"/>
    <n v="100023"/>
    <n v="32341"/>
    <n v="11598753"/>
  </r>
  <r>
    <n v="33"/>
    <x v="32"/>
    <s v="BALKAR SINGH"/>
    <x v="1"/>
    <x v="5"/>
    <x v="1"/>
    <n v="40"/>
    <x v="2"/>
    <s v="GENERAL"/>
    <n v="204405"/>
    <n v="144922"/>
    <n v="56797"/>
    <n v="526"/>
    <n v="57323"/>
    <s v="Adaish Partap Singh Kairon"/>
    <s v="SAD"/>
    <n v="46324"/>
    <n v="10999"/>
    <m/>
    <m/>
    <n v="85"/>
    <n v="85"/>
    <n v="100023"/>
    <n v="32341"/>
    <n v="11443765"/>
  </r>
  <r>
    <n v="34"/>
    <x v="33"/>
    <s v="SHEETAL ANGURAL"/>
    <x v="1"/>
    <x v="5"/>
    <x v="1"/>
    <n v="37"/>
    <x v="2"/>
    <s v="GENERAL"/>
    <n v="203539"/>
    <n v="145256"/>
    <n v="55286"/>
    <n v="470"/>
    <n v="55756"/>
    <s v="RAMANJEET SINGH SAHOTA SIKKI"/>
    <s v="INC"/>
    <n v="39265"/>
    <n v="16491"/>
    <m/>
    <m/>
    <n v="84"/>
    <n v="84"/>
    <n v="100023"/>
    <n v="32341"/>
    <n v="11298843"/>
  </r>
  <r>
    <n v="35"/>
    <x v="34"/>
    <s v="RAMAN ARORA"/>
    <x v="1"/>
    <x v="5"/>
    <x v="1"/>
    <n v="38"/>
    <x v="2"/>
    <s v="SC"/>
    <n v="201831"/>
    <n v="131237"/>
    <n v="52041"/>
    <n v="427"/>
    <n v="52468"/>
    <s v="SANTOKH SINGH BHALAIPUR"/>
    <s v="INC"/>
    <n v="32916"/>
    <n v="19552"/>
    <m/>
    <m/>
    <n v="83"/>
    <n v="83"/>
    <n v="100023"/>
    <n v="32341"/>
    <n v="11153587"/>
  </r>
  <r>
    <n v="36"/>
    <x v="35"/>
    <s v="Avtar Singh Junior"/>
    <x v="1"/>
    <x v="5"/>
    <x v="1"/>
    <n v="56"/>
    <x v="0"/>
    <s v="GENERAL"/>
    <n v="136892"/>
    <n v="90537"/>
    <n v="37089"/>
    <n v="165"/>
    <n v="37254"/>
    <s v="BIBI JAGIR KAUR"/>
    <s v="SAD"/>
    <n v="28029"/>
    <n v="9225"/>
    <m/>
    <m/>
    <n v="82"/>
    <n v="82"/>
    <n v="100023"/>
    <n v="32341"/>
    <n v="11022350"/>
  </r>
  <r>
    <n v="37"/>
    <x v="36"/>
    <s v="PARGAT SINGH POWAR"/>
    <x v="1"/>
    <x v="5"/>
    <x v="1"/>
    <n v="69"/>
    <x v="0"/>
    <s v="GENERAL"/>
    <n v="150129"/>
    <n v="102700"/>
    <n v="43752"/>
    <n v="344"/>
    <n v="44096"/>
    <s v="Manju Rana"/>
    <s v="AAAP"/>
    <n v="36792"/>
    <n v="7304"/>
    <m/>
    <m/>
    <n v="81"/>
    <n v="81"/>
    <n v="100023"/>
    <n v="32341"/>
    <n v="10931813"/>
  </r>
  <r>
    <n v="38"/>
    <x v="37"/>
    <s v="SUKHWINDER SINGH KOTLI"/>
    <x v="1"/>
    <x v="5"/>
    <x v="1"/>
    <n v="42"/>
    <x v="4"/>
    <s v="GENERAL"/>
    <n v="148501"/>
    <n v="108106"/>
    <n v="41125"/>
    <n v="212"/>
    <n v="41337"/>
    <s v="SAJJAN SINGH CHEEMA"/>
    <s v="AAAP"/>
    <n v="29903"/>
    <n v="11434"/>
    <m/>
    <m/>
    <n v="80"/>
    <n v="80"/>
    <n v="100023"/>
    <n v="32341"/>
    <n v="10829113"/>
  </r>
  <r>
    <n v="39"/>
    <x v="38"/>
    <s v="JANGI LAL MAHAJAN"/>
    <x v="1"/>
    <x v="6"/>
    <x v="1"/>
    <n v="60"/>
    <x v="0"/>
    <s v="SC"/>
    <n v="193076"/>
    <n v="127964"/>
    <n v="37102"/>
    <n v="115"/>
    <n v="37217"/>
    <s v="Joginder Singh Mann"/>
    <s v="AAAP"/>
    <n v="34505"/>
    <n v="2712"/>
    <m/>
    <m/>
    <n v="79"/>
    <n v="79"/>
    <n v="100023"/>
    <n v="32341"/>
    <n v="10721007"/>
  </r>
  <r>
    <n v="40"/>
    <x v="39"/>
    <s v="KARAMBIR SINGH"/>
    <x v="1"/>
    <x v="6"/>
    <x v="1"/>
    <n v="44"/>
    <x v="0"/>
    <s v="SC"/>
    <n v="207226"/>
    <n v="139886"/>
    <n v="48154"/>
    <n v="134"/>
    <n v="48288"/>
    <s v="Baldev Singh Khaira"/>
    <s v="SAD"/>
    <n v="35985"/>
    <n v="12303"/>
    <m/>
    <m/>
    <n v="78"/>
    <n v="78"/>
    <n v="100023"/>
    <n v="32341"/>
    <n v="10593043"/>
  </r>
  <r>
    <n v="41"/>
    <x v="40"/>
    <s v="Jasvir Singh Raja Gill"/>
    <x v="1"/>
    <x v="6"/>
    <x v="1"/>
    <n v="54"/>
    <x v="0"/>
    <s v="GENERAL"/>
    <n v="182103"/>
    <n v="132510"/>
    <n v="51537"/>
    <n v="124"/>
    <n v="51661"/>
    <s v="Bachitar Singh Kohar"/>
    <s v="SAD"/>
    <n v="39582"/>
    <n v="12079"/>
    <m/>
    <m/>
    <n v="77"/>
    <n v="77"/>
    <n v="100023"/>
    <n v="32341"/>
    <n v="10453157"/>
  </r>
  <r>
    <n v="42"/>
    <x v="41"/>
    <s v="DR.RAVJOT SINGH"/>
    <x v="1"/>
    <x v="6"/>
    <x v="1"/>
    <n v="59"/>
    <x v="2"/>
    <s v="SC"/>
    <n v="184762"/>
    <n v="124988"/>
    <n v="41651"/>
    <n v="179"/>
    <n v="41830"/>
    <s v="CHAUDHARY SURINDER SINGH"/>
    <s v="INC"/>
    <n v="37256"/>
    <n v="4574"/>
    <m/>
    <m/>
    <n v="76"/>
    <n v="76"/>
    <n v="100023"/>
    <n v="32341"/>
    <n v="10320647"/>
  </r>
  <r>
    <n v="43"/>
    <x v="42"/>
    <s v="BRAM SHANKER (JIMPA)"/>
    <x v="1"/>
    <x v="6"/>
    <x v="1"/>
    <n v="38"/>
    <x v="2"/>
    <s v="SC"/>
    <n v="171691"/>
    <n v="116247"/>
    <n v="39001"/>
    <n v="212"/>
    <n v="39213"/>
    <s v="SUSHIL KUMAR RINKU"/>
    <s v="INC"/>
    <n v="34960"/>
    <n v="4253"/>
    <m/>
    <m/>
    <n v="75"/>
    <n v="75"/>
    <n v="100023"/>
    <n v="32341"/>
    <n v="10195659"/>
  </r>
  <r>
    <n v="44"/>
    <x v="43"/>
    <s v="DR. RAJ KUMAR"/>
    <x v="1"/>
    <x v="6"/>
    <x v="1"/>
    <n v="51"/>
    <x v="2"/>
    <s v="GENERAL"/>
    <n v="174292"/>
    <n v="106554"/>
    <n v="32642"/>
    <n v="369"/>
    <n v="33011"/>
    <s v="RAJINDER BERI"/>
    <s v="INC"/>
    <n v="32764"/>
    <n v="247"/>
    <m/>
    <m/>
    <n v="74"/>
    <n v="74"/>
    <n v="100023"/>
    <n v="32341"/>
    <n v="10079412"/>
  </r>
  <r>
    <n v="45"/>
    <x v="44"/>
    <s v="JAI KRISHAN"/>
    <x v="1"/>
    <x v="6"/>
    <x v="1"/>
    <n v="43"/>
    <x v="0"/>
    <s v="GENERAL"/>
    <n v="192161"/>
    <n v="128158"/>
    <n v="47127"/>
    <n v="211"/>
    <n v="47338"/>
    <s v="K D Bhandari"/>
    <s v="BJP"/>
    <n v="37852"/>
    <n v="9486"/>
    <m/>
    <m/>
    <n v="73"/>
    <n v="73"/>
    <n v="100023"/>
    <n v="32341"/>
    <n v="9972858"/>
  </r>
  <r>
    <n v="46"/>
    <x v="45"/>
    <s v="SUKHWINDER KUMAR SUKHI DR."/>
    <x v="1"/>
    <x v="7"/>
    <x v="1"/>
    <n v="57"/>
    <x v="0"/>
    <s v="GENERAL"/>
    <n v="193992"/>
    <n v="125090"/>
    <n v="40507"/>
    <n v="309"/>
    <n v="40816"/>
    <s v="SURINDER SINGH SODHI"/>
    <s v="AAAP"/>
    <n v="35008"/>
    <n v="5808"/>
    <m/>
    <m/>
    <n v="72"/>
    <n v="72"/>
    <n v="100023"/>
    <n v="32341"/>
    <n v="9844700"/>
  </r>
  <r>
    <n v="47"/>
    <x v="46"/>
    <s v="DR. NACHHATAR PAL"/>
    <x v="1"/>
    <x v="7"/>
    <x v="1"/>
    <n v="57"/>
    <x v="0"/>
    <s v="SC"/>
    <n v="167938"/>
    <n v="113753"/>
    <n v="39373"/>
    <n v="181"/>
    <n v="39554"/>
    <s v="PAWAN KUMAR TINU"/>
    <s v="SAD"/>
    <n v="34987"/>
    <n v="4567"/>
    <m/>
    <m/>
    <n v="71"/>
    <n v="71"/>
    <n v="100023"/>
    <n v="32341"/>
    <n v="9719610"/>
  </r>
  <r>
    <n v="48"/>
    <x v="47"/>
    <s v="SANTOSH KUMARI KATARIAA"/>
    <x v="1"/>
    <x v="7"/>
    <x v="1"/>
    <n v="74"/>
    <x v="3"/>
    <s v="GENERAL"/>
    <n v="208070"/>
    <n v="143300"/>
    <n v="40475"/>
    <n v="569"/>
    <n v="41044"/>
    <s v="Prof. GURDHIAN SINGH MULTANI"/>
    <s v="AAAP"/>
    <n v="38353"/>
    <n v="2691"/>
    <m/>
    <m/>
    <n v="70"/>
    <n v="70"/>
    <n v="100023"/>
    <n v="32341"/>
    <n v="9605857"/>
  </r>
  <r>
    <n v="49"/>
    <x v="48"/>
    <s v="HARJOT SINGH BAINS"/>
    <x v="2"/>
    <x v="8"/>
    <x v="1"/>
    <n v="37"/>
    <x v="2"/>
    <s v="GENERAL"/>
    <n v="201374"/>
    <n v="133456"/>
    <n v="42617"/>
    <n v="655"/>
    <n v="43272"/>
    <s v="ARUN DOGRA"/>
    <s v="INC"/>
    <n v="34685"/>
    <n v="8587"/>
    <m/>
    <m/>
    <n v="69"/>
    <n v="69"/>
    <n v="100023"/>
    <n v="32341"/>
    <n v="9462557"/>
  </r>
  <r>
    <n v="50"/>
    <x v="49"/>
    <s v="DINESH KUMAR CHADHA"/>
    <x v="2"/>
    <x v="8"/>
    <x v="1"/>
    <n v="52"/>
    <x v="2"/>
    <s v="GENERAL"/>
    <n v="183066"/>
    <n v="125205"/>
    <n v="42029"/>
    <n v="547"/>
    <n v="42576"/>
    <s v="Sangat Singh Gilzian"/>
    <s v="INC"/>
    <n v="38386"/>
    <n v="4190"/>
    <m/>
    <m/>
    <n v="68"/>
    <n v="68"/>
    <n v="100023"/>
    <n v="32341"/>
    <n v="9329101"/>
  </r>
  <r>
    <n v="51"/>
    <x v="50"/>
    <s v="CHARANJIT SINGH"/>
    <x v="2"/>
    <x v="8"/>
    <x v="1"/>
    <n v="45"/>
    <x v="2"/>
    <s v="SC"/>
    <n v="178919"/>
    <n v="124024"/>
    <n v="60202"/>
    <n v="528"/>
    <n v="60730"/>
    <s v="PAWAN KUMAR ADIA"/>
    <s v="INC"/>
    <n v="39374"/>
    <n v="21356"/>
    <m/>
    <m/>
    <n v="67"/>
    <n v="67"/>
    <n v="100023"/>
    <n v="32341"/>
    <n v="9203896"/>
  </r>
  <r>
    <n v="52"/>
    <x v="51"/>
    <s v="Anmol Gagan Maan"/>
    <x v="2"/>
    <x v="9"/>
    <x v="1"/>
    <n v="56"/>
    <x v="2"/>
    <s v="GENERAL"/>
    <n v="193247"/>
    <n v="127907"/>
    <n v="50733"/>
    <n v="379"/>
    <n v="51112"/>
    <s v="SUNDER SHAM ARORA"/>
    <s v="INC"/>
    <n v="37253"/>
    <n v="13859"/>
    <m/>
    <m/>
    <n v="66"/>
    <n v="66"/>
    <n v="100023"/>
    <n v="32341"/>
    <n v="9079872"/>
  </r>
  <r>
    <n v="53"/>
    <x v="52"/>
    <s v="KULWANT SINGH"/>
    <x v="2"/>
    <x v="9"/>
    <x v="1"/>
    <n v="52"/>
    <x v="0"/>
    <s v="SC"/>
    <n v="162191"/>
    <n v="115506"/>
    <n v="47228"/>
    <n v="147"/>
    <n v="47375"/>
    <s v="HARMINDER SINGH"/>
    <s v="AAAP"/>
    <n v="39729"/>
    <n v="7646"/>
    <m/>
    <m/>
    <n v="65"/>
    <n v="65"/>
    <n v="100023"/>
    <n v="32341"/>
    <n v="8951965"/>
  </r>
  <r>
    <n v="54"/>
    <x v="53"/>
    <s v="RUPINDER SINGH"/>
    <x v="2"/>
    <x v="10"/>
    <x v="1"/>
    <n v="39"/>
    <x v="2"/>
    <s v="GENERAL"/>
    <n v="176304"/>
    <n v="122472"/>
    <n v="32045"/>
    <n v="296"/>
    <n v="32341"/>
    <s v="AMARPREET SINGH LALLY"/>
    <s v="INC"/>
    <n v="28162"/>
    <n v="4179"/>
    <m/>
    <m/>
    <n v="64"/>
    <n v="64"/>
    <n v="100023"/>
    <n v="32341"/>
    <n v="8836459"/>
  </r>
  <r>
    <n v="55"/>
    <x v="54"/>
    <s v="Lakhbir Singh Rai"/>
    <x v="2"/>
    <x v="10"/>
    <x v="1"/>
    <n v="61"/>
    <x v="1"/>
    <s v="SC"/>
    <n v="165407"/>
    <n v="115301"/>
    <n v="37106"/>
    <n v="232"/>
    <n v="37338"/>
    <s v="TARLOCHAN SINGH"/>
    <s v="INC"/>
    <n v="32269"/>
    <n v="5069"/>
    <m/>
    <m/>
    <n v="63"/>
    <n v="63"/>
    <n v="100023"/>
    <n v="32789"/>
    <n v="8713987"/>
  </r>
  <r>
    <n v="56"/>
    <x v="55"/>
    <s v="Gurinder Singh Garry Birring"/>
    <x v="2"/>
    <x v="10"/>
    <x v="1"/>
    <n v="47"/>
    <x v="5"/>
    <s v="SC"/>
    <n v="177400"/>
    <n v="123868"/>
    <n v="36695"/>
    <n v="336"/>
    <n v="37031"/>
    <s v="LALIT MOHAN BALLU"/>
    <s v="AAAP"/>
    <n v="31655"/>
    <n v="5376"/>
    <m/>
    <m/>
    <n v="62"/>
    <n v="62"/>
    <n v="100023"/>
    <n v="32789"/>
    <n v="8598686"/>
  </r>
  <r>
    <n v="57"/>
    <x v="56"/>
    <s v="TARUNPREET SINGH SOND"/>
    <x v="2"/>
    <x v="11"/>
    <x v="1"/>
    <n v="31"/>
    <x v="2"/>
    <s v="GENERAL"/>
    <n v="193750"/>
    <n v="141809"/>
    <n v="81730"/>
    <n v="402"/>
    <n v="82132"/>
    <s v="KANWAR PAL SINGH"/>
    <s v="INC"/>
    <n v="36352"/>
    <n v="45780"/>
    <m/>
    <m/>
    <n v="61"/>
    <n v="61"/>
    <n v="100023"/>
    <n v="32789"/>
    <n v="8474818"/>
  </r>
  <r>
    <n v="58"/>
    <x v="57"/>
    <s v="JAGTAR SINGH DIYALPURA"/>
    <x v="2"/>
    <x v="11"/>
    <x v="1"/>
    <n v="37"/>
    <x v="2"/>
    <s v="GENERAL"/>
    <n v="185516"/>
    <n v="135793"/>
    <n v="59573"/>
    <n v="330"/>
    <n v="59903"/>
    <s v="BRINDER SINGH DHILLON"/>
    <s v="INC"/>
    <n v="36271"/>
    <n v="23632"/>
    <m/>
    <m/>
    <n v="60"/>
    <n v="60"/>
    <n v="100023"/>
    <n v="32789"/>
    <n v="8333009"/>
  </r>
  <r>
    <n v="59"/>
    <x v="58"/>
    <s v="HARDEEP SINGH MUNDIAN"/>
    <x v="2"/>
    <x v="11"/>
    <x v="1"/>
    <n v="61"/>
    <x v="2"/>
    <s v="SC"/>
    <n v="198260"/>
    <n v="147571"/>
    <n v="69981"/>
    <n v="267"/>
    <n v="70248"/>
    <s v="CHARANJIT SINGH CHANNI"/>
    <s v="INC"/>
    <n v="62306"/>
    <n v="7942"/>
    <m/>
    <m/>
    <n v="59"/>
    <n v="59"/>
    <n v="100023"/>
    <n v="32789"/>
    <n v="8197216"/>
  </r>
  <r>
    <n v="60"/>
    <x v="59"/>
    <s v="DALJIT SINGH GREWAL (BHOLA)"/>
    <x v="2"/>
    <x v="11"/>
    <x v="1"/>
    <n v="60"/>
    <x v="2"/>
    <s v="SC"/>
    <n v="239357"/>
    <n v="155196"/>
    <n v="76915"/>
    <n v="219"/>
    <n v="77134"/>
    <s v="BALBIR SINGH SIDHU"/>
    <s v="INC"/>
    <n v="43037"/>
    <n v="34097"/>
    <m/>
    <m/>
    <n v="58"/>
    <n v="58"/>
    <n v="100023"/>
    <n v="32789"/>
    <n v="8049645"/>
  </r>
  <r>
    <n v="61"/>
    <x v="60"/>
    <s v="RAJINDER PAL KAUR"/>
    <x v="2"/>
    <x v="11"/>
    <x v="1"/>
    <n v="43"/>
    <x v="2"/>
    <s v="SC"/>
    <n v="149842"/>
    <n v="112144"/>
    <n v="53741"/>
    <n v="277"/>
    <n v="54018"/>
    <s v="GURPREET SINGH"/>
    <s v="INC"/>
    <n v="16177"/>
    <n v="37841"/>
    <m/>
    <m/>
    <n v="57"/>
    <n v="57"/>
    <n v="100023"/>
    <n v="32789"/>
    <n v="7894449"/>
  </r>
  <r>
    <n v="62"/>
    <x v="61"/>
    <s v="KULWANT SINGH SIDHU"/>
    <x v="2"/>
    <x v="11"/>
    <x v="1"/>
    <n v="51"/>
    <x v="2"/>
    <s v="GENERAL"/>
    <n v="162218"/>
    <n v="125515"/>
    <n v="57363"/>
    <n v="343"/>
    <n v="57706"/>
    <s v="Kuljit Singh Nagra"/>
    <s v="INC"/>
    <n v="25507"/>
    <n v="32199"/>
    <m/>
    <m/>
    <n v="56"/>
    <n v="56"/>
    <n v="100023"/>
    <n v="32789"/>
    <n v="7782305"/>
  </r>
  <r>
    <n v="63"/>
    <x v="62"/>
    <s v="Ashok Parashar (Pappi)"/>
    <x v="2"/>
    <x v="11"/>
    <x v="1"/>
    <n v="35"/>
    <x v="2"/>
    <s v="GENERAL"/>
    <n v="144730"/>
    <n v="113966"/>
    <n v="52648"/>
    <n v="264"/>
    <n v="52912"/>
    <s v="Gurpreet Singh Raju Khanna"/>
    <s v="SAD"/>
    <n v="28249"/>
    <n v="24663"/>
    <m/>
    <m/>
    <n v="55"/>
    <n v="55"/>
    <n v="100023"/>
    <n v="32789"/>
    <n v="7656790"/>
  </r>
  <r>
    <n v="64"/>
    <x v="63"/>
    <s v="GURPREET BASSI GOGI"/>
    <x v="2"/>
    <x v="11"/>
    <x v="1"/>
    <n v="38"/>
    <x v="2"/>
    <s v="GENERAL"/>
    <n v="172035"/>
    <n v="128586"/>
    <n v="61951"/>
    <n v="474"/>
    <n v="62425"/>
    <s v="JASDEEP KAUR YADU"/>
    <s v="SAD"/>
    <n v="26805"/>
    <n v="35620"/>
    <m/>
    <m/>
    <n v="54"/>
    <n v="54"/>
    <n v="100023"/>
    <n v="32789"/>
    <n v="7542824"/>
  </r>
  <r>
    <n v="65"/>
    <x v="64"/>
    <s v="MADAN LAL BAGGA"/>
    <x v="2"/>
    <x v="11"/>
    <x v="1"/>
    <n v="41"/>
    <x v="2"/>
    <s v="GENERAL"/>
    <n v="176507"/>
    <n v="133524"/>
    <n v="57126"/>
    <n v="431"/>
    <n v="57557"/>
    <s v="PARAMJIT SINGH DHILLON"/>
    <s v="SAD"/>
    <n v="26667"/>
    <n v="30890"/>
    <m/>
    <m/>
    <n v="53"/>
    <n v="53"/>
    <n v="100023"/>
    <n v="32789"/>
    <n v="7414238"/>
  </r>
  <r>
    <n v="66"/>
    <x v="65"/>
    <s v="Jiwan Singh Sangowal"/>
    <x v="2"/>
    <x v="11"/>
    <x v="1"/>
    <n v="46"/>
    <x v="2"/>
    <s v="GENERAL"/>
    <n v="265386"/>
    <n v="179196"/>
    <n v="61312"/>
    <n v="203"/>
    <n v="61515"/>
    <s v="VIKRAM SINGH BAJWA"/>
    <s v="INC"/>
    <n v="46322"/>
    <n v="15193"/>
    <m/>
    <m/>
    <n v="52"/>
    <n v="52"/>
    <n v="100023"/>
    <n v="32789"/>
    <n v="7280714"/>
  </r>
  <r>
    <n v="67"/>
    <x v="66"/>
    <s v="MANWINDER SINGH GIASPURA"/>
    <x v="2"/>
    <x v="11"/>
    <x v="1"/>
    <n v="56"/>
    <x v="2"/>
    <s v="GENERAL"/>
    <n v="217819"/>
    <n v="144481"/>
    <n v="68521"/>
    <n v="161"/>
    <n v="68682"/>
    <s v="SANJEEV TALWAR"/>
    <s v="INC"/>
    <n v="32760"/>
    <n v="35922"/>
    <m/>
    <m/>
    <n v="51"/>
    <n v="51"/>
    <n v="100023"/>
    <n v="32789"/>
    <n v="7101518"/>
  </r>
  <r>
    <n v="68"/>
    <x v="67"/>
    <s v="MANPREET SINGH AYALI"/>
    <x v="2"/>
    <x v="11"/>
    <x v="1"/>
    <n v="57"/>
    <x v="2"/>
    <s v="GENERAL"/>
    <n v="170698"/>
    <n v="105083"/>
    <n v="44369"/>
    <n v="232"/>
    <n v="44601"/>
    <s v="KAMALJIT SINGH KARWAL"/>
    <s v="INC"/>
    <n v="28247"/>
    <n v="16354"/>
    <m/>
    <m/>
    <n v="50"/>
    <n v="50"/>
    <n v="100023"/>
    <n v="32789"/>
    <n v="6957037"/>
  </r>
  <r>
    <n v="69"/>
    <x v="68"/>
    <s v="HAKAM SINGH THEKEDAR"/>
    <x v="2"/>
    <x v="11"/>
    <x v="1"/>
    <n v="57"/>
    <x v="2"/>
    <s v="GENERAL"/>
    <n v="158945"/>
    <n v="98405"/>
    <n v="32707"/>
    <n v="82"/>
    <n v="32789"/>
    <s v="Gurdev Sharma Debi"/>
    <s v="BJP"/>
    <n v="27985"/>
    <n v="4804"/>
    <m/>
    <m/>
    <n v="49"/>
    <n v="49"/>
    <n v="100023"/>
    <n v="32789"/>
    <n v="6851954"/>
  </r>
  <r>
    <n v="70"/>
    <x v="69"/>
    <s v="SARVJIT KAUR MANUKE"/>
    <x v="2"/>
    <x v="11"/>
    <x v="1"/>
    <n v="54"/>
    <x v="2"/>
    <s v="GENERAL"/>
    <n v="182545"/>
    <n v="117360"/>
    <n v="40075"/>
    <n v="368"/>
    <n v="40443"/>
    <s v="BHARAT BHUSHAN ASHU"/>
    <s v="INC"/>
    <n v="32931"/>
    <n v="7512"/>
    <m/>
    <m/>
    <n v="48"/>
    <n v="48"/>
    <n v="100023"/>
    <n v="40443"/>
    <n v="6753549"/>
  </r>
  <r>
    <n v="71"/>
    <x v="70"/>
    <s v="MANJIT SINGH BILASPUR"/>
    <x v="2"/>
    <x v="12"/>
    <x v="1"/>
    <n v="62"/>
    <x v="2"/>
    <s v="GENERAL"/>
    <n v="205144"/>
    <n v="125907"/>
    <n v="50983"/>
    <n v="121"/>
    <n v="51104"/>
    <s v="PARVEEN BANSAL"/>
    <s v="BJP"/>
    <n v="35822"/>
    <n v="15282"/>
    <m/>
    <m/>
    <n v="47"/>
    <n v="47"/>
    <n v="100023"/>
    <n v="44523"/>
    <n v="6636189"/>
  </r>
  <r>
    <n v="72"/>
    <x v="71"/>
    <s v="AMRITPAL SINGH SUKHANAND"/>
    <x v="2"/>
    <x v="12"/>
    <x v="1"/>
    <n v="58"/>
    <x v="2"/>
    <s v="SC"/>
    <n v="273574"/>
    <n v="184163"/>
    <n v="92173"/>
    <n v="523"/>
    <n v="92696"/>
    <s v="Darshan Singh Shivalik"/>
    <s v="SAD"/>
    <n v="35052"/>
    <n v="57644"/>
    <m/>
    <m/>
    <n v="46"/>
    <n v="46"/>
    <n v="100023"/>
    <n v="44523"/>
    <n v="6510282"/>
  </r>
  <r>
    <n v="73"/>
    <x v="72"/>
    <s v="DR. AMANDEEP KAUR ARORA"/>
    <x v="2"/>
    <x v="12"/>
    <x v="1"/>
    <n v="47"/>
    <x v="2"/>
    <s v="SC"/>
    <n v="166299"/>
    <n v="126822"/>
    <n v="63211"/>
    <n v="422"/>
    <n v="63633"/>
    <s v="LAKHVIR SINGH"/>
    <s v="INC"/>
    <n v="30624"/>
    <n v="33009"/>
    <m/>
    <m/>
    <n v="45"/>
    <n v="45"/>
    <n v="100023"/>
    <n v="44523"/>
    <n v="6326119"/>
  </r>
  <r>
    <n v="74"/>
    <x v="73"/>
    <s v="DEVINDERJEET SINGH LADDI DHOSE"/>
    <x v="2"/>
    <x v="12"/>
    <x v="1"/>
    <n v="47"/>
    <x v="1"/>
    <s v="GENERAL"/>
    <n v="188492"/>
    <n v="142739"/>
    <n v="49741"/>
    <n v="168"/>
    <n v="49909"/>
    <s v="CAPT. SANDEEP SINGH SANDHU"/>
    <s v="INC"/>
    <n v="44102"/>
    <n v="5807"/>
    <m/>
    <m/>
    <n v="44"/>
    <n v="44"/>
    <n v="100023"/>
    <n v="44523"/>
    <n v="6199297"/>
  </r>
  <r>
    <n v="75"/>
    <x v="74"/>
    <s v="Naresh Kataria"/>
    <x v="2"/>
    <x v="13"/>
    <x v="1"/>
    <n v="66"/>
    <x v="2"/>
    <s v="SC"/>
    <n v="157186"/>
    <n v="113599"/>
    <n v="63303"/>
    <n v="356"/>
    <n v="63659"/>
    <s v="KAMIL AMAR SINGH"/>
    <s v="INC"/>
    <n v="36015"/>
    <n v="27644"/>
    <m/>
    <m/>
    <n v="43"/>
    <n v="43"/>
    <n v="100023"/>
    <n v="44523"/>
    <n v="6056558"/>
  </r>
  <r>
    <n v="76"/>
    <x v="75"/>
    <s v="RANBIR SINGH"/>
    <x v="2"/>
    <x v="13"/>
    <x v="1"/>
    <n v="46"/>
    <x v="2"/>
    <s v="SC"/>
    <n v="198817"/>
    <n v="141308"/>
    <n v="64702"/>
    <n v="454"/>
    <n v="65156"/>
    <s v="BHUPINDER SINGH SAHOKE"/>
    <s v="INC"/>
    <n v="27172"/>
    <n v="37984"/>
    <m/>
    <m/>
    <n v="42"/>
    <n v="42"/>
    <n v="100023"/>
    <n v="44523"/>
    <n v="5942959"/>
  </r>
  <r>
    <n v="77"/>
    <x v="76"/>
    <s v="RAJNEESH KUMAR DAHIYA"/>
    <x v="2"/>
    <x v="13"/>
    <x v="1"/>
    <n v="32"/>
    <x v="2"/>
    <s v="GENERAL"/>
    <n v="172851"/>
    <n v="133222"/>
    <n v="66859"/>
    <n v="284"/>
    <n v="67143"/>
    <s v="TIRATH SINGH MAHLA"/>
    <s v="SAD"/>
    <n v="33384"/>
    <n v="33759"/>
    <m/>
    <m/>
    <n v="41"/>
    <n v="41"/>
    <n v="100023"/>
    <n v="44523"/>
    <n v="5801651"/>
  </r>
  <r>
    <n v="78"/>
    <x v="77"/>
    <s v="FAUJA SINGH"/>
    <x v="2"/>
    <x v="13"/>
    <x v="1"/>
    <n v="44"/>
    <x v="2"/>
    <s v="GENERAL"/>
    <n v="182302"/>
    <n v="142204"/>
    <n v="64902"/>
    <n v="476"/>
    <n v="65378"/>
    <s v="SUKHJIT SINGH KAKA LOHGARH"/>
    <s v="INC"/>
    <n v="35406"/>
    <n v="29972"/>
    <m/>
    <m/>
    <n v="40"/>
    <n v="40"/>
    <n v="100023"/>
    <n v="44523"/>
    <n v="5668429"/>
  </r>
  <r>
    <n v="79"/>
    <x v="78"/>
    <s v="JAGDEEP KAMBOJ"/>
    <x v="2"/>
    <x v="14"/>
    <x v="1"/>
    <n v="63"/>
    <x v="2"/>
    <s v="GENERAL"/>
    <n v="188313"/>
    <n v="151211"/>
    <n v="63709"/>
    <n v="325"/>
    <n v="64034"/>
    <s v="Janmeja Singh Sekhon"/>
    <s v="SAD"/>
    <n v="41258"/>
    <n v="22776"/>
    <m/>
    <m/>
    <n v="39"/>
    <n v="39"/>
    <n v="100023"/>
    <n v="44523"/>
    <n v="5526225"/>
  </r>
  <r>
    <n v="80"/>
    <x v="79"/>
    <s v="NARINDER PAL SINGH SAWNA"/>
    <x v="2"/>
    <x v="14"/>
    <x v="1"/>
    <n v="50"/>
    <x v="2"/>
    <s v="GENERAL"/>
    <n v="173368"/>
    <n v="124499"/>
    <n v="47997"/>
    <n v="446"/>
    <n v="48443"/>
    <s v="PARMINDER SINGH PINKI"/>
    <s v="INC"/>
    <n v="28874"/>
    <n v="19569"/>
    <m/>
    <m/>
    <n v="38"/>
    <n v="38"/>
    <n v="100023"/>
    <n v="44523"/>
    <n v="5375014"/>
  </r>
  <r>
    <n v="81"/>
    <x v="80"/>
    <s v="SANDEEP JAKHAR"/>
    <x v="2"/>
    <x v="14"/>
    <x v="1"/>
    <n v="45"/>
    <x v="2"/>
    <s v="SC"/>
    <n v="196789"/>
    <n v="151909"/>
    <n v="74891"/>
    <n v="402"/>
    <n v="75293"/>
    <s v="JOGINDER SINGH JINDU"/>
    <s v="SAD"/>
    <n v="47547"/>
    <n v="27746"/>
    <m/>
    <m/>
    <n v="37"/>
    <n v="37"/>
    <n v="100023"/>
    <n v="44523"/>
    <n v="5250515"/>
  </r>
  <r>
    <n v="82"/>
    <x v="81"/>
    <s v="AMANDEEP SINGH MUSAFIR"/>
    <x v="2"/>
    <x v="14"/>
    <x v="1"/>
    <n v="61"/>
    <x v="2"/>
    <s v="SC"/>
    <n v="173257"/>
    <n v="139408"/>
    <n v="67769"/>
    <n v="574"/>
    <n v="68343"/>
    <s v="VARDEV SINGH"/>
    <s v="SAD"/>
    <n v="57769"/>
    <n v="10574"/>
    <m/>
    <m/>
    <n v="36"/>
    <n v="36"/>
    <n v="100023"/>
    <n v="44523"/>
    <n v="5098606"/>
  </r>
  <r>
    <n v="83"/>
    <x v="82"/>
    <s v="GURMEET SINGH KHUDIAN"/>
    <x v="2"/>
    <x v="15"/>
    <x v="1"/>
    <n v="37"/>
    <x v="2"/>
    <s v="GENERAL"/>
    <n v="214303"/>
    <n v="172717"/>
    <n v="90308"/>
    <n v="1147"/>
    <n v="91455"/>
    <s v="Sukhbir Singh Badal"/>
    <s v="SAD"/>
    <n v="60525"/>
    <n v="30930"/>
    <m/>
    <m/>
    <n v="35"/>
    <n v="35"/>
    <n v="100023"/>
    <n v="44523"/>
    <n v="4959198"/>
  </r>
  <r>
    <n v="84"/>
    <x v="83"/>
    <s v="Amrinder Singh Raja Warring"/>
    <x v="2"/>
    <x v="15"/>
    <x v="1"/>
    <n v="30"/>
    <x v="2"/>
    <s v="SC"/>
    <n v="178100"/>
    <n v="145224"/>
    <n v="62437"/>
    <n v="720"/>
    <n v="63157"/>
    <s v="SURJIT KUMAR JYANI"/>
    <s v="BJP"/>
    <n v="35437"/>
    <n v="27720"/>
    <m/>
    <m/>
    <n v="34"/>
    <n v="34"/>
    <n v="100023"/>
    <n v="44523"/>
    <n v="4786481"/>
  </r>
  <r>
    <n v="85"/>
    <x v="84"/>
    <s v="Dr. Baljit Kaur"/>
    <x v="2"/>
    <x v="15"/>
    <x v="1"/>
    <n v="45"/>
    <x v="0"/>
    <s v="GENERAL"/>
    <n v="178739"/>
    <n v="133102"/>
    <n v="49390"/>
    <n v="534"/>
    <n v="49924"/>
    <s v="KULDEEP KUMAR alias DEEP KAMBOJ"/>
    <s v="AAAP"/>
    <n v="44453"/>
    <n v="5471"/>
    <m/>
    <m/>
    <n v="33"/>
    <n v="33"/>
    <n v="100023"/>
    <n v="44523"/>
    <n v="4641257"/>
  </r>
  <r>
    <n v="86"/>
    <x v="85"/>
    <s v="JAGDEEP SINGH 'KAKA BRAR'"/>
    <x v="2"/>
    <x v="15"/>
    <x v="1"/>
    <n v="40"/>
    <x v="2"/>
    <s v="SC"/>
    <n v="184437"/>
    <n v="143964"/>
    <n v="58439"/>
    <n v="454"/>
    <n v="58893"/>
    <s v="VANDANA SANGWAL"/>
    <s v="BJP"/>
    <n v="39720"/>
    <n v="19173"/>
    <m/>
    <m/>
    <n v="32"/>
    <n v="32"/>
    <n v="100023"/>
    <n v="44523"/>
    <n v="4508155"/>
  </r>
  <r>
    <n v="87"/>
    <x v="86"/>
    <s v="GURDIT SINGH SEKHON"/>
    <x v="2"/>
    <x v="16"/>
    <x v="1"/>
    <n v="59"/>
    <x v="2"/>
    <s v="GENERAL"/>
    <n v="165827"/>
    <n v="135697"/>
    <n v="65717"/>
    <n v="596"/>
    <n v="66313"/>
    <s v="PARKASH SINGH BADAL"/>
    <s v="SAD"/>
    <n v="54917"/>
    <n v="11396"/>
    <m/>
    <m/>
    <n v="31"/>
    <n v="31"/>
    <n v="100023"/>
    <n v="44523"/>
    <n v="4364191"/>
  </r>
  <r>
    <n v="88"/>
    <x v="87"/>
    <s v="KULTAR SINGH SANDHWAN"/>
    <x v="2"/>
    <x v="16"/>
    <x v="1"/>
    <n v="44"/>
    <x v="0"/>
    <s v="GENERAL"/>
    <n v="167771"/>
    <n v="143765"/>
    <n v="50433"/>
    <n v="565"/>
    <n v="50998"/>
    <s v="Hardeep Singh Dimpy Dhillon"/>
    <s v="SAD"/>
    <n v="49649"/>
    <n v="1349"/>
    <m/>
    <m/>
    <n v="30"/>
    <n v="30"/>
    <n v="100023"/>
    <n v="44523"/>
    <n v="4228494"/>
  </r>
  <r>
    <n v="89"/>
    <x v="88"/>
    <s v="AMOLAK SINGH"/>
    <x v="2"/>
    <x v="16"/>
    <x v="1"/>
    <n v="55"/>
    <x v="2"/>
    <s v="GENERAL"/>
    <n v="189276"/>
    <n v="149390"/>
    <n v="75173"/>
    <n v="1148"/>
    <n v="76321"/>
    <s v="KANWARJIT SINGH"/>
    <s v="SAD"/>
    <n v="42127"/>
    <n v="34194"/>
    <m/>
    <m/>
    <n v="29"/>
    <n v="29"/>
    <n v="100023"/>
    <n v="44523"/>
    <n v="4084729"/>
  </r>
  <r>
    <n v="90"/>
    <x v="89"/>
    <s v="Balkar Singh Sidhu"/>
    <x v="2"/>
    <x v="17"/>
    <x v="1"/>
    <n v="50"/>
    <x v="2"/>
    <s v="GENERAL"/>
    <n v="170539"/>
    <n v="129883"/>
    <n v="52689"/>
    <n v="795"/>
    <n v="53484"/>
    <s v="PARAMBANS SINGH 'BUNTY ROMANA'"/>
    <s v="SAD"/>
    <n v="36687"/>
    <n v="16797"/>
    <m/>
    <m/>
    <n v="28"/>
    <n v="28"/>
    <n v="100023"/>
    <n v="44523"/>
    <n v="3935339"/>
  </r>
  <r>
    <n v="91"/>
    <x v="90"/>
    <s v="JAGSIR SINGH"/>
    <x v="2"/>
    <x v="17"/>
    <x v="1"/>
    <n v="46"/>
    <x v="2"/>
    <s v="GENERAL"/>
    <n v="160223"/>
    <n v="123267"/>
    <n v="53526"/>
    <n v="483"/>
    <n v="54009"/>
    <s v="AJAIPAL SINGH SANDHU"/>
    <s v="INC"/>
    <n v="32879"/>
    <n v="21130"/>
    <m/>
    <m/>
    <n v="27"/>
    <n v="27"/>
    <n v="100023"/>
    <n v="44523"/>
    <n v="3805456"/>
  </r>
  <r>
    <n v="92"/>
    <x v="91"/>
    <s v="Jagroop Singh Gill"/>
    <x v="2"/>
    <x v="17"/>
    <x v="1"/>
    <n v="30"/>
    <x v="2"/>
    <s v="SC"/>
    <n v="151797"/>
    <n v="116318"/>
    <n v="59790"/>
    <n v="452"/>
    <n v="60242"/>
    <s v="MANJIT SINGH ALIAS SUBA SINGH"/>
    <s v="SAD"/>
    <n v="27453"/>
    <n v="32789"/>
    <m/>
    <m/>
    <n v="26"/>
    <n v="26"/>
    <n v="100023"/>
    <n v="44523"/>
    <n v="3682189"/>
  </r>
  <r>
    <n v="93"/>
    <x v="92"/>
    <s v="AMIT RATTAN KOTFATTA"/>
    <x v="2"/>
    <x v="17"/>
    <x v="1"/>
    <n v="50"/>
    <x v="2"/>
    <s v="GENERAL"/>
    <n v="170676"/>
    <n v="136089"/>
    <n v="55715"/>
    <n v="440"/>
    <n v="56155"/>
    <s v="Sikander Singh Maluka"/>
    <s v="SAD"/>
    <n v="45745"/>
    <n v="10410"/>
    <m/>
    <m/>
    <n v="25"/>
    <n v="25"/>
    <n v="100023"/>
    <n v="44523"/>
    <n v="3565871"/>
  </r>
  <r>
    <n v="94"/>
    <x v="93"/>
    <s v="Prof. Baljinder Kaur"/>
    <x v="2"/>
    <x v="17"/>
    <x v="1"/>
    <n v="64"/>
    <x v="2"/>
    <s v="SC"/>
    <n v="185659"/>
    <n v="149724"/>
    <n v="85030"/>
    <n v="748"/>
    <n v="85778"/>
    <s v="DARSHAN SINGH KOTFATTA"/>
    <s v="SAD"/>
    <n v="35566"/>
    <n v="50212"/>
    <m/>
    <m/>
    <n v="24"/>
    <n v="24"/>
    <n v="100023"/>
    <n v="44523"/>
    <n v="3429782"/>
  </r>
  <r>
    <n v="95"/>
    <x v="94"/>
    <s v="SUKHVEER SINGH MAISERKHANA"/>
    <x v="2"/>
    <x v="17"/>
    <x v="1"/>
    <n v="69"/>
    <x v="2"/>
    <s v="GENERAL"/>
    <n v="229872"/>
    <n v="162698"/>
    <n v="91509"/>
    <n v="1548"/>
    <n v="93057"/>
    <s v="Manpreet Singh Badal"/>
    <s v="INC"/>
    <n v="29476"/>
    <n v="63581"/>
    <m/>
    <m/>
    <n v="23"/>
    <n v="23"/>
    <n v="100023"/>
    <n v="44523"/>
    <n v="3280058"/>
  </r>
  <r>
    <n v="96"/>
    <x v="95"/>
    <s v="Dr.Vijay Singla"/>
    <x v="2"/>
    <x v="18"/>
    <x v="1"/>
    <n v="42"/>
    <x v="2"/>
    <s v="SC"/>
    <n v="158867"/>
    <n v="124402"/>
    <n v="65625"/>
    <n v="471"/>
    <n v="66096"/>
    <s v="PARKASH SINGH BHATTI"/>
    <s v="SAD"/>
    <n v="30617"/>
    <n v="35479"/>
    <m/>
    <m/>
    <n v="22"/>
    <n v="22"/>
    <n v="100023"/>
    <n v="44523"/>
    <n v="3117360"/>
  </r>
  <r>
    <n v="97"/>
    <x v="96"/>
    <s v="Gurpreet Singh Banawali"/>
    <x v="2"/>
    <x v="18"/>
    <x v="1"/>
    <n v="34"/>
    <x v="2"/>
    <s v="GENERAL"/>
    <n v="168914"/>
    <n v="136081"/>
    <n v="62547"/>
    <n v="552"/>
    <n v="63099"/>
    <s v="LAKHA SINGH SIDHANA"/>
    <s v="IND"/>
    <n v="28091"/>
    <n v="35008"/>
    <m/>
    <m/>
    <n v="21"/>
    <n v="21"/>
    <n v="100023"/>
    <n v="44523"/>
    <n v="2992958"/>
  </r>
  <r>
    <n v="98"/>
    <x v="97"/>
    <s v="BUDH RAM"/>
    <x v="2"/>
    <x v="18"/>
    <x v="1"/>
    <n v="52"/>
    <x v="2"/>
    <s v="GENERAL"/>
    <n v="219264"/>
    <n v="173756"/>
    <n v="99200"/>
    <n v="823"/>
    <n v="100023"/>
    <s v="Shubhdeep Singh Sidhu Moose Wala"/>
    <s v="INC"/>
    <n v="36700"/>
    <n v="63323"/>
    <m/>
    <m/>
    <n v="20"/>
    <n v="20"/>
    <n v="100023"/>
    <n v="44523"/>
    <n v="2856877"/>
  </r>
  <r>
    <n v="99"/>
    <x v="98"/>
    <s v="Barinder Kumar Goyal Vakeel"/>
    <x v="2"/>
    <x v="19"/>
    <x v="1"/>
    <n v="43"/>
    <x v="2"/>
    <s v="GENERAL"/>
    <n v="182806"/>
    <n v="152822"/>
    <n v="75338"/>
    <n v="479"/>
    <n v="75817"/>
    <s v="Bikram Singh"/>
    <s v="INC"/>
    <n v="34446"/>
    <n v="41371"/>
    <m/>
    <m/>
    <n v="19"/>
    <n v="19"/>
    <n v="94794"/>
    <n v="44523"/>
    <n v="2683121"/>
  </r>
  <r>
    <n v="100"/>
    <x v="99"/>
    <s v="Harpal Singh Cheema"/>
    <x v="2"/>
    <x v="19"/>
    <x v="1"/>
    <n v="65"/>
    <x v="2"/>
    <s v="SC"/>
    <n v="196478"/>
    <n v="160410"/>
    <n v="87467"/>
    <n v="815"/>
    <n v="88282"/>
    <s v="Dr. NISHAN SINGH HAKAMWALA"/>
    <s v="SAD"/>
    <n v="36591"/>
    <n v="51691"/>
    <m/>
    <m/>
    <n v="18"/>
    <n v="18"/>
    <n v="94794"/>
    <n v="44523"/>
    <n v="2530299"/>
  </r>
  <r>
    <n v="101"/>
    <x v="100"/>
    <s v="AMAN ARORA"/>
    <x v="2"/>
    <x v="19"/>
    <x v="1"/>
    <n v="63"/>
    <x v="2"/>
    <s v="GENERAL"/>
    <n v="173020"/>
    <n v="137776"/>
    <n v="59618"/>
    <n v="440"/>
    <n v="60058"/>
    <s v="Parminder Singh Dhindsa"/>
    <s v="SADS"/>
    <n v="33540"/>
    <n v="26518"/>
    <m/>
    <m/>
    <n v="17"/>
    <n v="17"/>
    <n v="94794"/>
    <n v="44523"/>
    <n v="2369889"/>
  </r>
  <r>
    <n v="102"/>
    <x v="101"/>
    <s v="LABH SINGH UGOKE"/>
    <x v="2"/>
    <x v="20"/>
    <x v="1"/>
    <n v="47"/>
    <x v="2"/>
    <s v="SC"/>
    <n v="183789"/>
    <n v="145257"/>
    <n v="82228"/>
    <n v="402"/>
    <n v="82630"/>
    <s v="Gulzar Singh Moonak"/>
    <s v="SAD"/>
    <n v="31975"/>
    <n v="50655"/>
    <m/>
    <m/>
    <n v="16"/>
    <n v="16"/>
    <n v="94794"/>
    <n v="44523"/>
    <n v="2232113"/>
  </r>
  <r>
    <n v="103"/>
    <x v="102"/>
    <s v="GURMEET SINGH MEET HAYER"/>
    <x v="2"/>
    <x v="20"/>
    <x v="1"/>
    <n v="47"/>
    <x v="2"/>
    <s v="GENERAL"/>
    <n v="196952"/>
    <n v="154684"/>
    <n v="94274"/>
    <n v="520"/>
    <n v="94794"/>
    <s v="JASWINDER SINGH DHIMAN S/o AMARJIT SINGH"/>
    <s v="INC"/>
    <n v="19517"/>
    <n v="75277"/>
    <m/>
    <m/>
    <n v="15"/>
    <n v="15"/>
    <n v="94794"/>
    <n v="44523"/>
    <n v="2086856"/>
  </r>
  <r>
    <n v="104"/>
    <x v="103"/>
    <s v="Kulwant Singh Pandori"/>
    <x v="2"/>
    <x v="20"/>
    <x v="1"/>
    <n v="35"/>
    <x v="2"/>
    <s v="SC"/>
    <n v="158573"/>
    <n v="125247"/>
    <n v="63514"/>
    <n v="453"/>
    <n v="63967"/>
    <s v="CHARANJIT SINGH CHANNI"/>
    <s v="INC"/>
    <n v="26409"/>
    <n v="37558"/>
    <m/>
    <m/>
    <n v="14"/>
    <n v="14"/>
    <n v="83893"/>
    <n v="44523"/>
    <n v="1932172"/>
  </r>
  <r>
    <n v="105"/>
    <x v="104"/>
    <s v="MOHAMMAD JAMIL UR RAHMAN"/>
    <x v="2"/>
    <x v="21"/>
    <x v="1"/>
    <n v="32"/>
    <x v="2"/>
    <s v="GENERAL"/>
    <n v="183174"/>
    <n v="131532"/>
    <n v="64091"/>
    <n v="709"/>
    <n v="64800"/>
    <s v="KULWANT SINGH KEETU"/>
    <s v="SAD"/>
    <n v="27178"/>
    <n v="37622"/>
    <m/>
    <m/>
    <n v="13"/>
    <n v="13"/>
    <n v="83893"/>
    <n v="44523"/>
    <n v="1806925"/>
  </r>
  <r>
    <n v="106"/>
    <x v="105"/>
    <s v="PROF. JASWANT SINGH GAJJAN MAJRA"/>
    <x v="2"/>
    <x v="21"/>
    <x v="1"/>
    <n v="49"/>
    <x v="2"/>
    <s v="SC"/>
    <n v="161387"/>
    <n v="115462"/>
    <n v="53266"/>
    <n v="448"/>
    <n v="53714"/>
    <s v="Gurjant Singh Kattu"/>
    <s v="SAD(M)"/>
    <n v="23367"/>
    <n v="30347"/>
    <m/>
    <m/>
    <n v="12"/>
    <n v="12"/>
    <n v="83893"/>
    <n v="44523"/>
    <n v="1675393"/>
  </r>
  <r>
    <n v="107"/>
    <x v="106"/>
    <s v="BHAGWANT MANN"/>
    <x v="2"/>
    <x v="19"/>
    <x v="1"/>
    <n v="62"/>
    <x v="2"/>
    <s v="GENERAL"/>
    <n v="160388"/>
    <n v="126042"/>
    <n v="65698"/>
    <n v="250"/>
    <n v="65948"/>
    <s v="RAZIA SULTANA"/>
    <s v="INC"/>
    <n v="44262"/>
    <n v="21686"/>
    <m/>
    <m/>
    <n v="11"/>
    <n v="11"/>
    <n v="83893"/>
    <n v="44523"/>
    <n v="1559931"/>
  </r>
  <r>
    <n v="108"/>
    <x v="107"/>
    <s v="Narinder Kaur Bharaj"/>
    <x v="2"/>
    <x v="19"/>
    <x v="1"/>
    <n v="59"/>
    <x v="2"/>
    <s v="GENERAL"/>
    <n v="166610"/>
    <n v="129868"/>
    <n v="44294"/>
    <n v="229"/>
    <n v="44523"/>
    <s v="SIMRANJIT SINGH MANN"/>
    <s v="SAD(M)"/>
    <n v="38480"/>
    <n v="6043"/>
    <m/>
    <m/>
    <n v="10"/>
    <n v="10"/>
    <n v="83893"/>
    <n v="44523"/>
    <n v="1433889"/>
  </r>
  <r>
    <n v="109"/>
    <x v="108"/>
    <s v="GURDEV SINGH DEV MAAN"/>
    <x v="2"/>
    <x v="22"/>
    <x v="1"/>
    <n v="48"/>
    <x v="2"/>
    <s v="GENERAL"/>
    <n v="166143"/>
    <n v="128458"/>
    <n v="82023"/>
    <n v="569"/>
    <n v="82592"/>
    <s v="DALVIR SINGH GOLDY"/>
    <s v="INC"/>
    <n v="24386"/>
    <n v="58206"/>
    <m/>
    <m/>
    <n v="9"/>
    <n v="9"/>
    <n v="83893"/>
    <n v="48104"/>
    <n v="1304021"/>
  </r>
  <r>
    <n v="110"/>
    <x v="109"/>
    <s v="Dr.Balbir Singh"/>
    <x v="2"/>
    <x v="22"/>
    <x v="1"/>
    <n v="52"/>
    <x v="2"/>
    <s v="SC"/>
    <n v="185315"/>
    <n v="142819"/>
    <n v="81710"/>
    <n v="343"/>
    <n v="82053"/>
    <s v="KABIR DASS"/>
    <s v="SAD"/>
    <n v="29453"/>
    <n v="52600"/>
    <m/>
    <m/>
    <n v="8"/>
    <n v="8"/>
    <n v="83893"/>
    <n v="48104"/>
    <n v="1175563"/>
  </r>
  <r>
    <n v="111"/>
    <x v="110"/>
    <s v="Neena Mittal"/>
    <x v="2"/>
    <x v="22"/>
    <x v="1"/>
    <n v="65"/>
    <x v="2"/>
    <s v="GENERAL"/>
    <n v="226041"/>
    <n v="148243"/>
    <n v="76333"/>
    <n v="822"/>
    <n v="77155"/>
    <s v="Mohit Mohindra"/>
    <s v="INC"/>
    <n v="23681"/>
    <n v="53474"/>
    <m/>
    <m/>
    <n v="7"/>
    <n v="7"/>
    <n v="83893"/>
    <n v="48104"/>
    <n v="1032744"/>
  </r>
  <r>
    <n v="112"/>
    <x v="111"/>
    <s v="KULJIT SINGH RANDHAWA"/>
    <x v="2"/>
    <x v="9"/>
    <x v="1"/>
    <n v="60"/>
    <x v="2"/>
    <s v="GENERAL"/>
    <n v="288440"/>
    <n v="199529"/>
    <n v="69870"/>
    <n v="162"/>
    <n v="70032"/>
    <s v="DEEPINDER SINGH DHILLON"/>
    <s v="INC"/>
    <n v="48311"/>
    <n v="21721"/>
    <m/>
    <m/>
    <n v="6"/>
    <n v="6"/>
    <n v="83893"/>
    <n v="48104"/>
    <n v="884501"/>
  </r>
  <r>
    <n v="113"/>
    <x v="112"/>
    <s v="GURLAL GHANAUR"/>
    <x v="2"/>
    <x v="22"/>
    <x v="1"/>
    <n v="43"/>
    <x v="2"/>
    <s v="GENERAL"/>
    <n v="165161"/>
    <n v="130423"/>
    <n v="62562"/>
    <n v="221"/>
    <n v="62783"/>
    <s v="MADAN LAL"/>
    <s v="INC"/>
    <n v="31018"/>
    <n v="31765"/>
    <m/>
    <m/>
    <n v="5"/>
    <n v="5"/>
    <n v="83893"/>
    <n v="48104"/>
    <n v="684972"/>
  </r>
  <r>
    <n v="114"/>
    <x v="113"/>
    <s v="HARMIT SINGH PATHANMAJRA"/>
    <x v="2"/>
    <x v="22"/>
    <x v="1"/>
    <n v="46"/>
    <x v="2"/>
    <s v="GENERAL"/>
    <n v="223614"/>
    <n v="165007"/>
    <n v="83634"/>
    <n v="259"/>
    <n v="83893"/>
    <s v="HARINDER PAL SINGH CHANDUMAJRA"/>
    <s v="SAD"/>
    <n v="34771"/>
    <n v="49122"/>
    <m/>
    <m/>
    <n v="4"/>
    <n v="4"/>
    <n v="83893"/>
    <n v="48104"/>
    <n v="554549"/>
  </r>
  <r>
    <n v="115"/>
    <x v="114"/>
    <s v="Ajit Pal Singh Kohli"/>
    <x v="2"/>
    <x v="22"/>
    <x v="1"/>
    <n v="43"/>
    <x v="2"/>
    <s v="GENERAL"/>
    <n v="161609"/>
    <n v="103468"/>
    <n v="47704"/>
    <n v="400"/>
    <n v="48104"/>
    <s v="Amarinder Singh"/>
    <s v="PLCP"/>
    <n v="28231"/>
    <n v="19873"/>
    <m/>
    <m/>
    <n v="3"/>
    <n v="3"/>
    <n v="81751"/>
    <n v="48104"/>
    <n v="389542"/>
  </r>
  <r>
    <n v="116"/>
    <x v="115"/>
    <s v="CHETAN SINGH JOURAMAJRA"/>
    <x v="2"/>
    <x v="22"/>
    <x v="1"/>
    <n v="55"/>
    <x v="2"/>
    <s v="GENERAL"/>
    <n v="193141"/>
    <n v="148335"/>
    <n v="74066"/>
    <n v="309"/>
    <n v="74375"/>
    <s v="SURJIT SINGH RAKHRA"/>
    <s v="SAD"/>
    <n v="34662"/>
    <n v="39713"/>
    <m/>
    <m/>
    <n v="2"/>
    <n v="2"/>
    <n v="81751"/>
    <n v="74375"/>
    <n v="286074"/>
  </r>
  <r>
    <n v="117"/>
    <x v="116"/>
    <s v="Kulwant Singh Bazigar"/>
    <x v="2"/>
    <x v="22"/>
    <x v="1"/>
    <n v="48"/>
    <x v="2"/>
    <s v="SC"/>
    <n v="182335"/>
    <n v="137739"/>
    <n v="81426"/>
    <n v="325"/>
    <n v="81751"/>
    <s v="Vaninder Kaur Loomba"/>
    <s v="SAD"/>
    <n v="30197"/>
    <n v="51554"/>
    <m/>
    <m/>
    <n v="1"/>
    <n v="1"/>
    <n v="81751"/>
    <n v="81751"/>
    <n v="13773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10" firstHeaderRow="1" firstDataRow="1" firstDataCol="1"/>
  <pivotFields count="25">
    <pivotField showAll="0"/>
    <pivotField showAll="0"/>
    <pivotField showAll="0"/>
    <pivotField showAll="0"/>
    <pivotField showAll="0"/>
    <pivotField showAll="0"/>
    <pivotField showAll="0"/>
    <pivotField axis="axisRow" showAll="0">
      <items count="7">
        <item x="2"/>
        <item x="3"/>
        <item x="5"/>
        <item x="0"/>
        <item x="4"/>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Total Votes Received(W)" fld="13" subtotal="count" baseField="7" baseItem="0"/>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1"/>
          </reference>
        </references>
      </pivotArea>
    </chartFormat>
    <chartFormat chart="8" format="12">
      <pivotArea type="data" outline="0" fieldPosition="0">
        <references count="2">
          <reference field="4294967294" count="1" selected="0">
            <x v="0"/>
          </reference>
          <reference field="7" count="1" selected="0">
            <x v="2"/>
          </reference>
        </references>
      </pivotArea>
    </chartFormat>
    <chartFormat chart="8" format="13">
      <pivotArea type="data" outline="0" fieldPosition="0">
        <references count="2">
          <reference field="4294967294" count="1" selected="0">
            <x v="0"/>
          </reference>
          <reference field="7" count="1" selected="0">
            <x v="3"/>
          </reference>
        </references>
      </pivotArea>
    </chartFormat>
    <chartFormat chart="8" format="14">
      <pivotArea type="data" outline="0" fieldPosition="0">
        <references count="2">
          <reference field="4294967294" count="1" selected="0">
            <x v="0"/>
          </reference>
          <reference field="7" count="1" selected="0">
            <x v="4"/>
          </reference>
        </references>
      </pivotArea>
    </chartFormat>
    <chartFormat chart="8" format="1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6"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3:B7" firstHeaderRow="1" firstDataRow="1" firstDataCol="1"/>
  <pivotFields count="25">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Votes Received(W)" fld="13"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7"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3:B27" firstHeaderRow="1" firstDataRow="1" firstDataCol="1"/>
  <pivotFields count="25">
    <pivotField showAll="0"/>
    <pivotField showAll="0"/>
    <pivotField showAll="0"/>
    <pivotField showAll="0"/>
    <pivotField axis="axisRow" showAll="0">
      <items count="24">
        <item x="2"/>
        <item x="20"/>
        <item x="17"/>
        <item x="16"/>
        <item x="10"/>
        <item x="14"/>
        <item x="13"/>
        <item x="1"/>
        <item x="6"/>
        <item x="5"/>
        <item x="4"/>
        <item x="11"/>
        <item x="21"/>
        <item x="18"/>
        <item x="12"/>
        <item x="0"/>
        <item x="22"/>
        <item x="8"/>
        <item x="9"/>
        <item x="7"/>
        <item x="19"/>
        <item x="15"/>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Votes Received(W)" fld="13"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5"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A3:B7" firstHeaderRow="1" firstDataRow="1" firstDataCol="1"/>
  <pivotFields count="25">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Votes Received(W)" fld="13"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9"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8">
  <location ref="A3:B121" firstHeaderRow="1" firstDataRow="1" firstDataCol="1"/>
  <pivotFields count="25">
    <pivotField showAll="0"/>
    <pivotField axis="axisRow" showAll="0">
      <items count="118">
        <item x="80"/>
        <item x="37"/>
        <item x="10"/>
        <item x="105"/>
        <item x="55"/>
        <item x="16"/>
        <item x="17"/>
        <item x="14"/>
        <item x="18"/>
        <item x="15"/>
        <item x="48"/>
        <item x="61"/>
        <item x="19"/>
        <item x="24"/>
        <item x="47"/>
        <item x="81"/>
        <item x="45"/>
        <item x="102"/>
        <item x="53"/>
        <item x="6"/>
        <item x="92"/>
        <item x="91"/>
        <item x="101"/>
        <item x="71"/>
        <item x="1"/>
        <item x="25"/>
        <item x="90"/>
        <item x="97"/>
        <item x="43"/>
        <item x="50"/>
        <item x="67"/>
        <item x="39"/>
        <item x="9"/>
        <item x="111"/>
        <item x="73"/>
        <item x="106"/>
        <item x="4"/>
        <item x="99"/>
        <item x="86"/>
        <item x="8"/>
        <item x="54"/>
        <item x="79"/>
        <item x="75"/>
        <item x="76"/>
        <item x="44"/>
        <item x="112"/>
        <item x="83"/>
        <item x="65"/>
        <item x="3"/>
        <item x="77"/>
        <item x="42"/>
        <item x="69"/>
        <item x="88"/>
        <item x="78"/>
        <item x="36"/>
        <item x="34"/>
        <item x="35"/>
        <item x="33"/>
        <item x="13"/>
        <item x="26"/>
        <item x="32"/>
        <item x="23"/>
        <item x="56"/>
        <item x="51"/>
        <item x="21"/>
        <item x="87"/>
        <item x="82"/>
        <item x="98"/>
        <item x="62"/>
        <item x="59"/>
        <item x="64"/>
        <item x="60"/>
        <item x="63"/>
        <item x="12"/>
        <item x="104"/>
        <item x="84"/>
        <item x="95"/>
        <item x="94"/>
        <item x="103"/>
        <item x="72"/>
        <item x="38"/>
        <item x="85"/>
        <item x="108"/>
        <item x="30"/>
        <item x="46"/>
        <item x="70"/>
        <item x="2"/>
        <item x="114"/>
        <item x="109"/>
        <item x="22"/>
        <item x="66"/>
        <item x="28"/>
        <item x="29"/>
        <item x="5"/>
        <item x="68"/>
        <item x="11"/>
        <item x="110"/>
        <item x="89"/>
        <item x="49"/>
        <item x="52"/>
        <item x="58"/>
        <item x="115"/>
        <item x="57"/>
        <item x="107"/>
        <item x="113"/>
        <item x="96"/>
        <item x="31"/>
        <item x="41"/>
        <item x="116"/>
        <item x="7"/>
        <item x="0"/>
        <item x="27"/>
        <item x="100"/>
        <item x="93"/>
        <item x="20"/>
        <item x="40"/>
        <item x="7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s>
  <rowFields count="1">
    <field x="1"/>
  </rowFields>
  <rowItems count="11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t="grand">
      <x/>
    </i>
  </rowItems>
  <colItems count="1">
    <i/>
  </colItems>
  <dataFields count="1">
    <dataField name="Sum of Gap(W-R)" fld="17" baseField="0" baseItem="0"/>
  </dataFields>
  <chartFormats count="119">
    <chartFormat chart="5" format="0" series="1">
      <pivotArea type="data" outline="0" fieldPosition="0">
        <references count="1">
          <reference field="4294967294" count="1" selected="0">
            <x v="0"/>
          </reference>
        </references>
      </pivotArea>
    </chartFormat>
    <chartFormat chart="7" format="119" series="1">
      <pivotArea type="data" outline="0" fieldPosition="0">
        <references count="1">
          <reference field="4294967294" count="1" selected="0">
            <x v="0"/>
          </reference>
        </references>
      </pivotArea>
    </chartFormat>
    <chartFormat chart="7" format="120">
      <pivotArea type="data" outline="0" fieldPosition="0">
        <references count="2">
          <reference field="4294967294" count="1" selected="0">
            <x v="0"/>
          </reference>
          <reference field="1" count="1" selected="0">
            <x v="0"/>
          </reference>
        </references>
      </pivotArea>
    </chartFormat>
    <chartFormat chart="7" format="121">
      <pivotArea type="data" outline="0" fieldPosition="0">
        <references count="2">
          <reference field="4294967294" count="1" selected="0">
            <x v="0"/>
          </reference>
          <reference field="1" count="1" selected="0">
            <x v="1"/>
          </reference>
        </references>
      </pivotArea>
    </chartFormat>
    <chartFormat chart="7" format="122">
      <pivotArea type="data" outline="0" fieldPosition="0">
        <references count="2">
          <reference field="4294967294" count="1" selected="0">
            <x v="0"/>
          </reference>
          <reference field="1" count="1" selected="0">
            <x v="2"/>
          </reference>
        </references>
      </pivotArea>
    </chartFormat>
    <chartFormat chart="7" format="123">
      <pivotArea type="data" outline="0" fieldPosition="0">
        <references count="2">
          <reference field="4294967294" count="1" selected="0">
            <x v="0"/>
          </reference>
          <reference field="1" count="1" selected="0">
            <x v="3"/>
          </reference>
        </references>
      </pivotArea>
    </chartFormat>
    <chartFormat chart="7" format="124">
      <pivotArea type="data" outline="0" fieldPosition="0">
        <references count="2">
          <reference field="4294967294" count="1" selected="0">
            <x v="0"/>
          </reference>
          <reference field="1" count="1" selected="0">
            <x v="4"/>
          </reference>
        </references>
      </pivotArea>
    </chartFormat>
    <chartFormat chart="7" format="125">
      <pivotArea type="data" outline="0" fieldPosition="0">
        <references count="2">
          <reference field="4294967294" count="1" selected="0">
            <x v="0"/>
          </reference>
          <reference field="1" count="1" selected="0">
            <x v="5"/>
          </reference>
        </references>
      </pivotArea>
    </chartFormat>
    <chartFormat chart="7" format="126">
      <pivotArea type="data" outline="0" fieldPosition="0">
        <references count="2">
          <reference field="4294967294" count="1" selected="0">
            <x v="0"/>
          </reference>
          <reference field="1" count="1" selected="0">
            <x v="6"/>
          </reference>
        </references>
      </pivotArea>
    </chartFormat>
    <chartFormat chart="7" format="127">
      <pivotArea type="data" outline="0" fieldPosition="0">
        <references count="2">
          <reference field="4294967294" count="1" selected="0">
            <x v="0"/>
          </reference>
          <reference field="1" count="1" selected="0">
            <x v="7"/>
          </reference>
        </references>
      </pivotArea>
    </chartFormat>
    <chartFormat chart="7" format="128">
      <pivotArea type="data" outline="0" fieldPosition="0">
        <references count="2">
          <reference field="4294967294" count="1" selected="0">
            <x v="0"/>
          </reference>
          <reference field="1" count="1" selected="0">
            <x v="8"/>
          </reference>
        </references>
      </pivotArea>
    </chartFormat>
    <chartFormat chart="7" format="129">
      <pivotArea type="data" outline="0" fieldPosition="0">
        <references count="2">
          <reference field="4294967294" count="1" selected="0">
            <x v="0"/>
          </reference>
          <reference field="1" count="1" selected="0">
            <x v="9"/>
          </reference>
        </references>
      </pivotArea>
    </chartFormat>
    <chartFormat chart="7" format="130">
      <pivotArea type="data" outline="0" fieldPosition="0">
        <references count="2">
          <reference field="4294967294" count="1" selected="0">
            <x v="0"/>
          </reference>
          <reference field="1" count="1" selected="0">
            <x v="10"/>
          </reference>
        </references>
      </pivotArea>
    </chartFormat>
    <chartFormat chart="7" format="131">
      <pivotArea type="data" outline="0" fieldPosition="0">
        <references count="2">
          <reference field="4294967294" count="1" selected="0">
            <x v="0"/>
          </reference>
          <reference field="1" count="1" selected="0">
            <x v="11"/>
          </reference>
        </references>
      </pivotArea>
    </chartFormat>
    <chartFormat chart="7" format="132">
      <pivotArea type="data" outline="0" fieldPosition="0">
        <references count="2">
          <reference field="4294967294" count="1" selected="0">
            <x v="0"/>
          </reference>
          <reference field="1" count="1" selected="0">
            <x v="12"/>
          </reference>
        </references>
      </pivotArea>
    </chartFormat>
    <chartFormat chart="7" format="133">
      <pivotArea type="data" outline="0" fieldPosition="0">
        <references count="2">
          <reference field="4294967294" count="1" selected="0">
            <x v="0"/>
          </reference>
          <reference field="1" count="1" selected="0">
            <x v="13"/>
          </reference>
        </references>
      </pivotArea>
    </chartFormat>
    <chartFormat chart="7" format="134">
      <pivotArea type="data" outline="0" fieldPosition="0">
        <references count="2">
          <reference field="4294967294" count="1" selected="0">
            <x v="0"/>
          </reference>
          <reference field="1" count="1" selected="0">
            <x v="14"/>
          </reference>
        </references>
      </pivotArea>
    </chartFormat>
    <chartFormat chart="7" format="135">
      <pivotArea type="data" outline="0" fieldPosition="0">
        <references count="2">
          <reference field="4294967294" count="1" selected="0">
            <x v="0"/>
          </reference>
          <reference field="1" count="1" selected="0">
            <x v="15"/>
          </reference>
        </references>
      </pivotArea>
    </chartFormat>
    <chartFormat chart="7" format="136">
      <pivotArea type="data" outline="0" fieldPosition="0">
        <references count="2">
          <reference field="4294967294" count="1" selected="0">
            <x v="0"/>
          </reference>
          <reference field="1" count="1" selected="0">
            <x v="16"/>
          </reference>
        </references>
      </pivotArea>
    </chartFormat>
    <chartFormat chart="7" format="137">
      <pivotArea type="data" outline="0" fieldPosition="0">
        <references count="2">
          <reference field="4294967294" count="1" selected="0">
            <x v="0"/>
          </reference>
          <reference field="1" count="1" selected="0">
            <x v="17"/>
          </reference>
        </references>
      </pivotArea>
    </chartFormat>
    <chartFormat chart="7" format="138">
      <pivotArea type="data" outline="0" fieldPosition="0">
        <references count="2">
          <reference field="4294967294" count="1" selected="0">
            <x v="0"/>
          </reference>
          <reference field="1" count="1" selected="0">
            <x v="18"/>
          </reference>
        </references>
      </pivotArea>
    </chartFormat>
    <chartFormat chart="7" format="139">
      <pivotArea type="data" outline="0" fieldPosition="0">
        <references count="2">
          <reference field="4294967294" count="1" selected="0">
            <x v="0"/>
          </reference>
          <reference field="1" count="1" selected="0">
            <x v="19"/>
          </reference>
        </references>
      </pivotArea>
    </chartFormat>
    <chartFormat chart="7" format="140">
      <pivotArea type="data" outline="0" fieldPosition="0">
        <references count="2">
          <reference field="4294967294" count="1" selected="0">
            <x v="0"/>
          </reference>
          <reference field="1" count="1" selected="0">
            <x v="20"/>
          </reference>
        </references>
      </pivotArea>
    </chartFormat>
    <chartFormat chart="7" format="141">
      <pivotArea type="data" outline="0" fieldPosition="0">
        <references count="2">
          <reference field="4294967294" count="1" selected="0">
            <x v="0"/>
          </reference>
          <reference field="1" count="1" selected="0">
            <x v="21"/>
          </reference>
        </references>
      </pivotArea>
    </chartFormat>
    <chartFormat chart="7" format="142">
      <pivotArea type="data" outline="0" fieldPosition="0">
        <references count="2">
          <reference field="4294967294" count="1" selected="0">
            <x v="0"/>
          </reference>
          <reference field="1" count="1" selected="0">
            <x v="22"/>
          </reference>
        </references>
      </pivotArea>
    </chartFormat>
    <chartFormat chart="7" format="143">
      <pivotArea type="data" outline="0" fieldPosition="0">
        <references count="2">
          <reference field="4294967294" count="1" selected="0">
            <x v="0"/>
          </reference>
          <reference field="1" count="1" selected="0">
            <x v="23"/>
          </reference>
        </references>
      </pivotArea>
    </chartFormat>
    <chartFormat chart="7" format="144">
      <pivotArea type="data" outline="0" fieldPosition="0">
        <references count="2">
          <reference field="4294967294" count="1" selected="0">
            <x v="0"/>
          </reference>
          <reference field="1" count="1" selected="0">
            <x v="24"/>
          </reference>
        </references>
      </pivotArea>
    </chartFormat>
    <chartFormat chart="7" format="145">
      <pivotArea type="data" outline="0" fieldPosition="0">
        <references count="2">
          <reference field="4294967294" count="1" selected="0">
            <x v="0"/>
          </reference>
          <reference field="1" count="1" selected="0">
            <x v="25"/>
          </reference>
        </references>
      </pivotArea>
    </chartFormat>
    <chartFormat chart="7" format="146">
      <pivotArea type="data" outline="0" fieldPosition="0">
        <references count="2">
          <reference field="4294967294" count="1" selected="0">
            <x v="0"/>
          </reference>
          <reference field="1" count="1" selected="0">
            <x v="26"/>
          </reference>
        </references>
      </pivotArea>
    </chartFormat>
    <chartFormat chart="7" format="147">
      <pivotArea type="data" outline="0" fieldPosition="0">
        <references count="2">
          <reference field="4294967294" count="1" selected="0">
            <x v="0"/>
          </reference>
          <reference field="1" count="1" selected="0">
            <x v="27"/>
          </reference>
        </references>
      </pivotArea>
    </chartFormat>
    <chartFormat chart="7" format="148">
      <pivotArea type="data" outline="0" fieldPosition="0">
        <references count="2">
          <reference field="4294967294" count="1" selected="0">
            <x v="0"/>
          </reference>
          <reference field="1" count="1" selected="0">
            <x v="28"/>
          </reference>
        </references>
      </pivotArea>
    </chartFormat>
    <chartFormat chart="7" format="149">
      <pivotArea type="data" outline="0" fieldPosition="0">
        <references count="2">
          <reference field="4294967294" count="1" selected="0">
            <x v="0"/>
          </reference>
          <reference field="1" count="1" selected="0">
            <x v="29"/>
          </reference>
        </references>
      </pivotArea>
    </chartFormat>
    <chartFormat chart="7" format="150">
      <pivotArea type="data" outline="0" fieldPosition="0">
        <references count="2">
          <reference field="4294967294" count="1" selected="0">
            <x v="0"/>
          </reference>
          <reference field="1" count="1" selected="0">
            <x v="30"/>
          </reference>
        </references>
      </pivotArea>
    </chartFormat>
    <chartFormat chart="7" format="151">
      <pivotArea type="data" outline="0" fieldPosition="0">
        <references count="2">
          <reference field="4294967294" count="1" selected="0">
            <x v="0"/>
          </reference>
          <reference field="1" count="1" selected="0">
            <x v="31"/>
          </reference>
        </references>
      </pivotArea>
    </chartFormat>
    <chartFormat chart="7" format="152">
      <pivotArea type="data" outline="0" fieldPosition="0">
        <references count="2">
          <reference field="4294967294" count="1" selected="0">
            <x v="0"/>
          </reference>
          <reference field="1" count="1" selected="0">
            <x v="32"/>
          </reference>
        </references>
      </pivotArea>
    </chartFormat>
    <chartFormat chart="7" format="153">
      <pivotArea type="data" outline="0" fieldPosition="0">
        <references count="2">
          <reference field="4294967294" count="1" selected="0">
            <x v="0"/>
          </reference>
          <reference field="1" count="1" selected="0">
            <x v="33"/>
          </reference>
        </references>
      </pivotArea>
    </chartFormat>
    <chartFormat chart="7" format="154">
      <pivotArea type="data" outline="0" fieldPosition="0">
        <references count="2">
          <reference field="4294967294" count="1" selected="0">
            <x v="0"/>
          </reference>
          <reference field="1" count="1" selected="0">
            <x v="34"/>
          </reference>
        </references>
      </pivotArea>
    </chartFormat>
    <chartFormat chart="7" format="155">
      <pivotArea type="data" outline="0" fieldPosition="0">
        <references count="2">
          <reference field="4294967294" count="1" selected="0">
            <x v="0"/>
          </reference>
          <reference field="1" count="1" selected="0">
            <x v="35"/>
          </reference>
        </references>
      </pivotArea>
    </chartFormat>
    <chartFormat chart="7" format="156">
      <pivotArea type="data" outline="0" fieldPosition="0">
        <references count="2">
          <reference field="4294967294" count="1" selected="0">
            <x v="0"/>
          </reference>
          <reference field="1" count="1" selected="0">
            <x v="36"/>
          </reference>
        </references>
      </pivotArea>
    </chartFormat>
    <chartFormat chart="7" format="157">
      <pivotArea type="data" outline="0" fieldPosition="0">
        <references count="2">
          <reference field="4294967294" count="1" selected="0">
            <x v="0"/>
          </reference>
          <reference field="1" count="1" selected="0">
            <x v="37"/>
          </reference>
        </references>
      </pivotArea>
    </chartFormat>
    <chartFormat chart="7" format="158">
      <pivotArea type="data" outline="0" fieldPosition="0">
        <references count="2">
          <reference field="4294967294" count="1" selected="0">
            <x v="0"/>
          </reference>
          <reference field="1" count="1" selected="0">
            <x v="38"/>
          </reference>
        </references>
      </pivotArea>
    </chartFormat>
    <chartFormat chart="7" format="159">
      <pivotArea type="data" outline="0" fieldPosition="0">
        <references count="2">
          <reference field="4294967294" count="1" selected="0">
            <x v="0"/>
          </reference>
          <reference field="1" count="1" selected="0">
            <x v="39"/>
          </reference>
        </references>
      </pivotArea>
    </chartFormat>
    <chartFormat chart="7" format="160">
      <pivotArea type="data" outline="0" fieldPosition="0">
        <references count="2">
          <reference field="4294967294" count="1" selected="0">
            <x v="0"/>
          </reference>
          <reference field="1" count="1" selected="0">
            <x v="40"/>
          </reference>
        </references>
      </pivotArea>
    </chartFormat>
    <chartFormat chart="7" format="161">
      <pivotArea type="data" outline="0" fieldPosition="0">
        <references count="2">
          <reference field="4294967294" count="1" selected="0">
            <x v="0"/>
          </reference>
          <reference field="1" count="1" selected="0">
            <x v="41"/>
          </reference>
        </references>
      </pivotArea>
    </chartFormat>
    <chartFormat chart="7" format="162">
      <pivotArea type="data" outline="0" fieldPosition="0">
        <references count="2">
          <reference field="4294967294" count="1" selected="0">
            <x v="0"/>
          </reference>
          <reference field="1" count="1" selected="0">
            <x v="42"/>
          </reference>
        </references>
      </pivotArea>
    </chartFormat>
    <chartFormat chart="7" format="163">
      <pivotArea type="data" outline="0" fieldPosition="0">
        <references count="2">
          <reference field="4294967294" count="1" selected="0">
            <x v="0"/>
          </reference>
          <reference field="1" count="1" selected="0">
            <x v="43"/>
          </reference>
        </references>
      </pivotArea>
    </chartFormat>
    <chartFormat chart="7" format="164">
      <pivotArea type="data" outline="0" fieldPosition="0">
        <references count="2">
          <reference field="4294967294" count="1" selected="0">
            <x v="0"/>
          </reference>
          <reference field="1" count="1" selected="0">
            <x v="44"/>
          </reference>
        </references>
      </pivotArea>
    </chartFormat>
    <chartFormat chart="7" format="165">
      <pivotArea type="data" outline="0" fieldPosition="0">
        <references count="2">
          <reference field="4294967294" count="1" selected="0">
            <x v="0"/>
          </reference>
          <reference field="1" count="1" selected="0">
            <x v="45"/>
          </reference>
        </references>
      </pivotArea>
    </chartFormat>
    <chartFormat chart="7" format="166">
      <pivotArea type="data" outline="0" fieldPosition="0">
        <references count="2">
          <reference field="4294967294" count="1" selected="0">
            <x v="0"/>
          </reference>
          <reference field="1" count="1" selected="0">
            <x v="46"/>
          </reference>
        </references>
      </pivotArea>
    </chartFormat>
    <chartFormat chart="7" format="167">
      <pivotArea type="data" outline="0" fieldPosition="0">
        <references count="2">
          <reference field="4294967294" count="1" selected="0">
            <x v="0"/>
          </reference>
          <reference field="1" count="1" selected="0">
            <x v="47"/>
          </reference>
        </references>
      </pivotArea>
    </chartFormat>
    <chartFormat chart="7" format="168">
      <pivotArea type="data" outline="0" fieldPosition="0">
        <references count="2">
          <reference field="4294967294" count="1" selected="0">
            <x v="0"/>
          </reference>
          <reference field="1" count="1" selected="0">
            <x v="48"/>
          </reference>
        </references>
      </pivotArea>
    </chartFormat>
    <chartFormat chart="7" format="169">
      <pivotArea type="data" outline="0" fieldPosition="0">
        <references count="2">
          <reference field="4294967294" count="1" selected="0">
            <x v="0"/>
          </reference>
          <reference field="1" count="1" selected="0">
            <x v="49"/>
          </reference>
        </references>
      </pivotArea>
    </chartFormat>
    <chartFormat chart="7" format="170">
      <pivotArea type="data" outline="0" fieldPosition="0">
        <references count="2">
          <reference field="4294967294" count="1" selected="0">
            <x v="0"/>
          </reference>
          <reference field="1" count="1" selected="0">
            <x v="50"/>
          </reference>
        </references>
      </pivotArea>
    </chartFormat>
    <chartFormat chart="7" format="171">
      <pivotArea type="data" outline="0" fieldPosition="0">
        <references count="2">
          <reference field="4294967294" count="1" selected="0">
            <x v="0"/>
          </reference>
          <reference field="1" count="1" selected="0">
            <x v="51"/>
          </reference>
        </references>
      </pivotArea>
    </chartFormat>
    <chartFormat chart="7" format="172">
      <pivotArea type="data" outline="0" fieldPosition="0">
        <references count="2">
          <reference field="4294967294" count="1" selected="0">
            <x v="0"/>
          </reference>
          <reference field="1" count="1" selected="0">
            <x v="52"/>
          </reference>
        </references>
      </pivotArea>
    </chartFormat>
    <chartFormat chart="7" format="173">
      <pivotArea type="data" outline="0" fieldPosition="0">
        <references count="2">
          <reference field="4294967294" count="1" selected="0">
            <x v="0"/>
          </reference>
          <reference field="1" count="1" selected="0">
            <x v="53"/>
          </reference>
        </references>
      </pivotArea>
    </chartFormat>
    <chartFormat chart="7" format="174">
      <pivotArea type="data" outline="0" fieldPosition="0">
        <references count="2">
          <reference field="4294967294" count="1" selected="0">
            <x v="0"/>
          </reference>
          <reference field="1" count="1" selected="0">
            <x v="54"/>
          </reference>
        </references>
      </pivotArea>
    </chartFormat>
    <chartFormat chart="7" format="175">
      <pivotArea type="data" outline="0" fieldPosition="0">
        <references count="2">
          <reference field="4294967294" count="1" selected="0">
            <x v="0"/>
          </reference>
          <reference field="1" count="1" selected="0">
            <x v="55"/>
          </reference>
        </references>
      </pivotArea>
    </chartFormat>
    <chartFormat chart="7" format="176">
      <pivotArea type="data" outline="0" fieldPosition="0">
        <references count="2">
          <reference field="4294967294" count="1" selected="0">
            <x v="0"/>
          </reference>
          <reference field="1" count="1" selected="0">
            <x v="56"/>
          </reference>
        </references>
      </pivotArea>
    </chartFormat>
    <chartFormat chart="7" format="177">
      <pivotArea type="data" outline="0" fieldPosition="0">
        <references count="2">
          <reference field="4294967294" count="1" selected="0">
            <x v="0"/>
          </reference>
          <reference field="1" count="1" selected="0">
            <x v="57"/>
          </reference>
        </references>
      </pivotArea>
    </chartFormat>
    <chartFormat chart="7" format="178">
      <pivotArea type="data" outline="0" fieldPosition="0">
        <references count="2">
          <reference field="4294967294" count="1" selected="0">
            <x v="0"/>
          </reference>
          <reference field="1" count="1" selected="0">
            <x v="58"/>
          </reference>
        </references>
      </pivotArea>
    </chartFormat>
    <chartFormat chart="7" format="179">
      <pivotArea type="data" outline="0" fieldPosition="0">
        <references count="2">
          <reference field="4294967294" count="1" selected="0">
            <x v="0"/>
          </reference>
          <reference field="1" count="1" selected="0">
            <x v="59"/>
          </reference>
        </references>
      </pivotArea>
    </chartFormat>
    <chartFormat chart="7" format="180">
      <pivotArea type="data" outline="0" fieldPosition="0">
        <references count="2">
          <reference field="4294967294" count="1" selected="0">
            <x v="0"/>
          </reference>
          <reference field="1" count="1" selected="0">
            <x v="60"/>
          </reference>
        </references>
      </pivotArea>
    </chartFormat>
    <chartFormat chart="7" format="181">
      <pivotArea type="data" outline="0" fieldPosition="0">
        <references count="2">
          <reference field="4294967294" count="1" selected="0">
            <x v="0"/>
          </reference>
          <reference field="1" count="1" selected="0">
            <x v="61"/>
          </reference>
        </references>
      </pivotArea>
    </chartFormat>
    <chartFormat chart="7" format="182">
      <pivotArea type="data" outline="0" fieldPosition="0">
        <references count="2">
          <reference field="4294967294" count="1" selected="0">
            <x v="0"/>
          </reference>
          <reference field="1" count="1" selected="0">
            <x v="62"/>
          </reference>
        </references>
      </pivotArea>
    </chartFormat>
    <chartFormat chart="7" format="183">
      <pivotArea type="data" outline="0" fieldPosition="0">
        <references count="2">
          <reference field="4294967294" count="1" selected="0">
            <x v="0"/>
          </reference>
          <reference field="1" count="1" selected="0">
            <x v="63"/>
          </reference>
        </references>
      </pivotArea>
    </chartFormat>
    <chartFormat chart="7" format="184">
      <pivotArea type="data" outline="0" fieldPosition="0">
        <references count="2">
          <reference field="4294967294" count="1" selected="0">
            <x v="0"/>
          </reference>
          <reference field="1" count="1" selected="0">
            <x v="64"/>
          </reference>
        </references>
      </pivotArea>
    </chartFormat>
    <chartFormat chart="7" format="185">
      <pivotArea type="data" outline="0" fieldPosition="0">
        <references count="2">
          <reference field="4294967294" count="1" selected="0">
            <x v="0"/>
          </reference>
          <reference field="1" count="1" selected="0">
            <x v="65"/>
          </reference>
        </references>
      </pivotArea>
    </chartFormat>
    <chartFormat chart="7" format="186">
      <pivotArea type="data" outline="0" fieldPosition="0">
        <references count="2">
          <reference field="4294967294" count="1" selected="0">
            <x v="0"/>
          </reference>
          <reference field="1" count="1" selected="0">
            <x v="66"/>
          </reference>
        </references>
      </pivotArea>
    </chartFormat>
    <chartFormat chart="7" format="187">
      <pivotArea type="data" outline="0" fieldPosition="0">
        <references count="2">
          <reference field="4294967294" count="1" selected="0">
            <x v="0"/>
          </reference>
          <reference field="1" count="1" selected="0">
            <x v="67"/>
          </reference>
        </references>
      </pivotArea>
    </chartFormat>
    <chartFormat chart="7" format="188">
      <pivotArea type="data" outline="0" fieldPosition="0">
        <references count="2">
          <reference field="4294967294" count="1" selected="0">
            <x v="0"/>
          </reference>
          <reference field="1" count="1" selected="0">
            <x v="68"/>
          </reference>
        </references>
      </pivotArea>
    </chartFormat>
    <chartFormat chart="7" format="189">
      <pivotArea type="data" outline="0" fieldPosition="0">
        <references count="2">
          <reference field="4294967294" count="1" selected="0">
            <x v="0"/>
          </reference>
          <reference field="1" count="1" selected="0">
            <x v="69"/>
          </reference>
        </references>
      </pivotArea>
    </chartFormat>
    <chartFormat chart="7" format="190">
      <pivotArea type="data" outline="0" fieldPosition="0">
        <references count="2">
          <reference field="4294967294" count="1" selected="0">
            <x v="0"/>
          </reference>
          <reference field="1" count="1" selected="0">
            <x v="70"/>
          </reference>
        </references>
      </pivotArea>
    </chartFormat>
    <chartFormat chart="7" format="191">
      <pivotArea type="data" outline="0" fieldPosition="0">
        <references count="2">
          <reference field="4294967294" count="1" selected="0">
            <x v="0"/>
          </reference>
          <reference field="1" count="1" selected="0">
            <x v="71"/>
          </reference>
        </references>
      </pivotArea>
    </chartFormat>
    <chartFormat chart="7" format="192">
      <pivotArea type="data" outline="0" fieldPosition="0">
        <references count="2">
          <reference field="4294967294" count="1" selected="0">
            <x v="0"/>
          </reference>
          <reference field="1" count="1" selected="0">
            <x v="72"/>
          </reference>
        </references>
      </pivotArea>
    </chartFormat>
    <chartFormat chart="7" format="193">
      <pivotArea type="data" outline="0" fieldPosition="0">
        <references count="2">
          <reference field="4294967294" count="1" selected="0">
            <x v="0"/>
          </reference>
          <reference field="1" count="1" selected="0">
            <x v="73"/>
          </reference>
        </references>
      </pivotArea>
    </chartFormat>
    <chartFormat chart="7" format="194">
      <pivotArea type="data" outline="0" fieldPosition="0">
        <references count="2">
          <reference field="4294967294" count="1" selected="0">
            <x v="0"/>
          </reference>
          <reference field="1" count="1" selected="0">
            <x v="74"/>
          </reference>
        </references>
      </pivotArea>
    </chartFormat>
    <chartFormat chart="7" format="195">
      <pivotArea type="data" outline="0" fieldPosition="0">
        <references count="2">
          <reference field="4294967294" count="1" selected="0">
            <x v="0"/>
          </reference>
          <reference field="1" count="1" selected="0">
            <x v="75"/>
          </reference>
        </references>
      </pivotArea>
    </chartFormat>
    <chartFormat chart="7" format="196">
      <pivotArea type="data" outline="0" fieldPosition="0">
        <references count="2">
          <reference field="4294967294" count="1" selected="0">
            <x v="0"/>
          </reference>
          <reference field="1" count="1" selected="0">
            <x v="76"/>
          </reference>
        </references>
      </pivotArea>
    </chartFormat>
    <chartFormat chart="7" format="197">
      <pivotArea type="data" outline="0" fieldPosition="0">
        <references count="2">
          <reference field="4294967294" count="1" selected="0">
            <x v="0"/>
          </reference>
          <reference field="1" count="1" selected="0">
            <x v="77"/>
          </reference>
        </references>
      </pivotArea>
    </chartFormat>
    <chartFormat chart="7" format="198">
      <pivotArea type="data" outline="0" fieldPosition="0">
        <references count="2">
          <reference field="4294967294" count="1" selected="0">
            <x v="0"/>
          </reference>
          <reference field="1" count="1" selected="0">
            <x v="78"/>
          </reference>
        </references>
      </pivotArea>
    </chartFormat>
    <chartFormat chart="7" format="199">
      <pivotArea type="data" outline="0" fieldPosition="0">
        <references count="2">
          <reference field="4294967294" count="1" selected="0">
            <x v="0"/>
          </reference>
          <reference field="1" count="1" selected="0">
            <x v="79"/>
          </reference>
        </references>
      </pivotArea>
    </chartFormat>
    <chartFormat chart="7" format="200">
      <pivotArea type="data" outline="0" fieldPosition="0">
        <references count="2">
          <reference field="4294967294" count="1" selected="0">
            <x v="0"/>
          </reference>
          <reference field="1" count="1" selected="0">
            <x v="80"/>
          </reference>
        </references>
      </pivotArea>
    </chartFormat>
    <chartFormat chart="7" format="201">
      <pivotArea type="data" outline="0" fieldPosition="0">
        <references count="2">
          <reference field="4294967294" count="1" selected="0">
            <x v="0"/>
          </reference>
          <reference field="1" count="1" selected="0">
            <x v="81"/>
          </reference>
        </references>
      </pivotArea>
    </chartFormat>
    <chartFormat chart="7" format="202">
      <pivotArea type="data" outline="0" fieldPosition="0">
        <references count="2">
          <reference field="4294967294" count="1" selected="0">
            <x v="0"/>
          </reference>
          <reference field="1" count="1" selected="0">
            <x v="82"/>
          </reference>
        </references>
      </pivotArea>
    </chartFormat>
    <chartFormat chart="7" format="203">
      <pivotArea type="data" outline="0" fieldPosition="0">
        <references count="2">
          <reference field="4294967294" count="1" selected="0">
            <x v="0"/>
          </reference>
          <reference field="1" count="1" selected="0">
            <x v="83"/>
          </reference>
        </references>
      </pivotArea>
    </chartFormat>
    <chartFormat chart="7" format="204">
      <pivotArea type="data" outline="0" fieldPosition="0">
        <references count="2">
          <reference field="4294967294" count="1" selected="0">
            <x v="0"/>
          </reference>
          <reference field="1" count="1" selected="0">
            <x v="84"/>
          </reference>
        </references>
      </pivotArea>
    </chartFormat>
    <chartFormat chart="7" format="205">
      <pivotArea type="data" outline="0" fieldPosition="0">
        <references count="2">
          <reference field="4294967294" count="1" selected="0">
            <x v="0"/>
          </reference>
          <reference field="1" count="1" selected="0">
            <x v="85"/>
          </reference>
        </references>
      </pivotArea>
    </chartFormat>
    <chartFormat chart="7" format="206">
      <pivotArea type="data" outline="0" fieldPosition="0">
        <references count="2">
          <reference field="4294967294" count="1" selected="0">
            <x v="0"/>
          </reference>
          <reference field="1" count="1" selected="0">
            <x v="86"/>
          </reference>
        </references>
      </pivotArea>
    </chartFormat>
    <chartFormat chart="7" format="207">
      <pivotArea type="data" outline="0" fieldPosition="0">
        <references count="2">
          <reference field="4294967294" count="1" selected="0">
            <x v="0"/>
          </reference>
          <reference field="1" count="1" selected="0">
            <x v="87"/>
          </reference>
        </references>
      </pivotArea>
    </chartFormat>
    <chartFormat chart="7" format="208">
      <pivotArea type="data" outline="0" fieldPosition="0">
        <references count="2">
          <reference field="4294967294" count="1" selected="0">
            <x v="0"/>
          </reference>
          <reference field="1" count="1" selected="0">
            <x v="88"/>
          </reference>
        </references>
      </pivotArea>
    </chartFormat>
    <chartFormat chart="7" format="209">
      <pivotArea type="data" outline="0" fieldPosition="0">
        <references count="2">
          <reference field="4294967294" count="1" selected="0">
            <x v="0"/>
          </reference>
          <reference field="1" count="1" selected="0">
            <x v="89"/>
          </reference>
        </references>
      </pivotArea>
    </chartFormat>
    <chartFormat chart="7" format="210">
      <pivotArea type="data" outline="0" fieldPosition="0">
        <references count="2">
          <reference field="4294967294" count="1" selected="0">
            <x v="0"/>
          </reference>
          <reference field="1" count="1" selected="0">
            <x v="90"/>
          </reference>
        </references>
      </pivotArea>
    </chartFormat>
    <chartFormat chart="7" format="211">
      <pivotArea type="data" outline="0" fieldPosition="0">
        <references count="2">
          <reference field="4294967294" count="1" selected="0">
            <x v="0"/>
          </reference>
          <reference field="1" count="1" selected="0">
            <x v="91"/>
          </reference>
        </references>
      </pivotArea>
    </chartFormat>
    <chartFormat chart="7" format="212">
      <pivotArea type="data" outline="0" fieldPosition="0">
        <references count="2">
          <reference field="4294967294" count="1" selected="0">
            <x v="0"/>
          </reference>
          <reference field="1" count="1" selected="0">
            <x v="92"/>
          </reference>
        </references>
      </pivotArea>
    </chartFormat>
    <chartFormat chart="7" format="213">
      <pivotArea type="data" outline="0" fieldPosition="0">
        <references count="2">
          <reference field="4294967294" count="1" selected="0">
            <x v="0"/>
          </reference>
          <reference field="1" count="1" selected="0">
            <x v="93"/>
          </reference>
        </references>
      </pivotArea>
    </chartFormat>
    <chartFormat chart="7" format="214">
      <pivotArea type="data" outline="0" fieldPosition="0">
        <references count="2">
          <reference field="4294967294" count="1" selected="0">
            <x v="0"/>
          </reference>
          <reference field="1" count="1" selected="0">
            <x v="94"/>
          </reference>
        </references>
      </pivotArea>
    </chartFormat>
    <chartFormat chart="7" format="215">
      <pivotArea type="data" outline="0" fieldPosition="0">
        <references count="2">
          <reference field="4294967294" count="1" selected="0">
            <x v="0"/>
          </reference>
          <reference field="1" count="1" selected="0">
            <x v="95"/>
          </reference>
        </references>
      </pivotArea>
    </chartFormat>
    <chartFormat chart="7" format="216">
      <pivotArea type="data" outline="0" fieldPosition="0">
        <references count="2">
          <reference field="4294967294" count="1" selected="0">
            <x v="0"/>
          </reference>
          <reference field="1" count="1" selected="0">
            <x v="96"/>
          </reference>
        </references>
      </pivotArea>
    </chartFormat>
    <chartFormat chart="7" format="217">
      <pivotArea type="data" outline="0" fieldPosition="0">
        <references count="2">
          <reference field="4294967294" count="1" selected="0">
            <x v="0"/>
          </reference>
          <reference field="1" count="1" selected="0">
            <x v="97"/>
          </reference>
        </references>
      </pivotArea>
    </chartFormat>
    <chartFormat chart="7" format="218">
      <pivotArea type="data" outline="0" fieldPosition="0">
        <references count="2">
          <reference field="4294967294" count="1" selected="0">
            <x v="0"/>
          </reference>
          <reference field="1" count="1" selected="0">
            <x v="98"/>
          </reference>
        </references>
      </pivotArea>
    </chartFormat>
    <chartFormat chart="7" format="219">
      <pivotArea type="data" outline="0" fieldPosition="0">
        <references count="2">
          <reference field="4294967294" count="1" selected="0">
            <x v="0"/>
          </reference>
          <reference field="1" count="1" selected="0">
            <x v="99"/>
          </reference>
        </references>
      </pivotArea>
    </chartFormat>
    <chartFormat chart="7" format="220">
      <pivotArea type="data" outline="0" fieldPosition="0">
        <references count="2">
          <reference field="4294967294" count="1" selected="0">
            <x v="0"/>
          </reference>
          <reference field="1" count="1" selected="0">
            <x v="100"/>
          </reference>
        </references>
      </pivotArea>
    </chartFormat>
    <chartFormat chart="7" format="221">
      <pivotArea type="data" outline="0" fieldPosition="0">
        <references count="2">
          <reference field="4294967294" count="1" selected="0">
            <x v="0"/>
          </reference>
          <reference field="1" count="1" selected="0">
            <x v="101"/>
          </reference>
        </references>
      </pivotArea>
    </chartFormat>
    <chartFormat chart="7" format="222">
      <pivotArea type="data" outline="0" fieldPosition="0">
        <references count="2">
          <reference field="4294967294" count="1" selected="0">
            <x v="0"/>
          </reference>
          <reference field="1" count="1" selected="0">
            <x v="102"/>
          </reference>
        </references>
      </pivotArea>
    </chartFormat>
    <chartFormat chart="7" format="223">
      <pivotArea type="data" outline="0" fieldPosition="0">
        <references count="2">
          <reference field="4294967294" count="1" selected="0">
            <x v="0"/>
          </reference>
          <reference field="1" count="1" selected="0">
            <x v="103"/>
          </reference>
        </references>
      </pivotArea>
    </chartFormat>
    <chartFormat chart="7" format="224">
      <pivotArea type="data" outline="0" fieldPosition="0">
        <references count="2">
          <reference field="4294967294" count="1" selected="0">
            <x v="0"/>
          </reference>
          <reference field="1" count="1" selected="0">
            <x v="104"/>
          </reference>
        </references>
      </pivotArea>
    </chartFormat>
    <chartFormat chart="7" format="225">
      <pivotArea type="data" outline="0" fieldPosition="0">
        <references count="2">
          <reference field="4294967294" count="1" selected="0">
            <x v="0"/>
          </reference>
          <reference field="1" count="1" selected="0">
            <x v="105"/>
          </reference>
        </references>
      </pivotArea>
    </chartFormat>
    <chartFormat chart="7" format="226">
      <pivotArea type="data" outline="0" fieldPosition="0">
        <references count="2">
          <reference field="4294967294" count="1" selected="0">
            <x v="0"/>
          </reference>
          <reference field="1" count="1" selected="0">
            <x v="106"/>
          </reference>
        </references>
      </pivotArea>
    </chartFormat>
    <chartFormat chart="7" format="227">
      <pivotArea type="data" outline="0" fieldPosition="0">
        <references count="2">
          <reference field="4294967294" count="1" selected="0">
            <x v="0"/>
          </reference>
          <reference field="1" count="1" selected="0">
            <x v="107"/>
          </reference>
        </references>
      </pivotArea>
    </chartFormat>
    <chartFormat chart="7" format="228">
      <pivotArea type="data" outline="0" fieldPosition="0">
        <references count="2">
          <reference field="4294967294" count="1" selected="0">
            <x v="0"/>
          </reference>
          <reference field="1" count="1" selected="0">
            <x v="108"/>
          </reference>
        </references>
      </pivotArea>
    </chartFormat>
    <chartFormat chart="7" format="229">
      <pivotArea type="data" outline="0" fieldPosition="0">
        <references count="2">
          <reference field="4294967294" count="1" selected="0">
            <x v="0"/>
          </reference>
          <reference field="1" count="1" selected="0">
            <x v="109"/>
          </reference>
        </references>
      </pivotArea>
    </chartFormat>
    <chartFormat chart="7" format="230">
      <pivotArea type="data" outline="0" fieldPosition="0">
        <references count="2">
          <reference field="4294967294" count="1" selected="0">
            <x v="0"/>
          </reference>
          <reference field="1" count="1" selected="0">
            <x v="110"/>
          </reference>
        </references>
      </pivotArea>
    </chartFormat>
    <chartFormat chart="7" format="231">
      <pivotArea type="data" outline="0" fieldPosition="0">
        <references count="2">
          <reference field="4294967294" count="1" selected="0">
            <x v="0"/>
          </reference>
          <reference field="1" count="1" selected="0">
            <x v="111"/>
          </reference>
        </references>
      </pivotArea>
    </chartFormat>
    <chartFormat chart="7" format="232">
      <pivotArea type="data" outline="0" fieldPosition="0">
        <references count="2">
          <reference field="4294967294" count="1" selected="0">
            <x v="0"/>
          </reference>
          <reference field="1" count="1" selected="0">
            <x v="112"/>
          </reference>
        </references>
      </pivotArea>
    </chartFormat>
    <chartFormat chart="7" format="233">
      <pivotArea type="data" outline="0" fieldPosition="0">
        <references count="2">
          <reference field="4294967294" count="1" selected="0">
            <x v="0"/>
          </reference>
          <reference field="1" count="1" selected="0">
            <x v="113"/>
          </reference>
        </references>
      </pivotArea>
    </chartFormat>
    <chartFormat chart="7" format="234">
      <pivotArea type="data" outline="0" fieldPosition="0">
        <references count="2">
          <reference field="4294967294" count="1" selected="0">
            <x v="0"/>
          </reference>
          <reference field="1" count="1" selected="0">
            <x v="114"/>
          </reference>
        </references>
      </pivotArea>
    </chartFormat>
    <chartFormat chart="7" format="235">
      <pivotArea type="data" outline="0" fieldPosition="0">
        <references count="2">
          <reference field="4294967294" count="1" selected="0">
            <x v="0"/>
          </reference>
          <reference field="1" count="1" selected="0">
            <x v="115"/>
          </reference>
        </references>
      </pivotArea>
    </chartFormat>
    <chartFormat chart="7" format="236">
      <pivotArea type="data" outline="0" fieldPosition="0">
        <references count="2">
          <reference field="4294967294" count="1" selected="0">
            <x v="0"/>
          </reference>
          <reference field="1" count="1" selected="0">
            <x v="11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16"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D22:E26" firstHeaderRow="1" firstDataRow="1" firstDataCol="1"/>
  <pivotFields count="25">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Votes Received(W)" fld="13"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4"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0">
  <location ref="D13:E17" firstHeaderRow="1" firstDataRow="1" firstDataCol="1"/>
  <pivotFields count="25">
    <pivotField showAll="0"/>
    <pivotField showAll="0"/>
    <pivotField showAll="0"/>
    <pivotField axis="axisRow" showAll="0">
      <items count="4">
        <item x="1"/>
        <item x="0"/>
        <item x="2"/>
        <item t="default"/>
      </items>
    </pivotField>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Total Votes Received(W)" fld="13" baseField="0" baseItem="0"/>
  </dataFields>
  <chartFormats count="2">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23:B47" firstHeaderRow="1" firstDataRow="1" firstDataCol="1"/>
  <pivotFields count="25">
    <pivotField showAll="0"/>
    <pivotField showAll="0"/>
    <pivotField showAll="0"/>
    <pivotField showAll="0"/>
    <pivotField axis="axisRow" showAll="0">
      <items count="24">
        <item x="2"/>
        <item x="20"/>
        <item x="17"/>
        <item x="16"/>
        <item x="10"/>
        <item x="14"/>
        <item x="13"/>
        <item x="1"/>
        <item x="6"/>
        <item x="5"/>
        <item x="4"/>
        <item x="11"/>
        <item x="21"/>
        <item x="18"/>
        <item x="12"/>
        <item x="0"/>
        <item x="22"/>
        <item x="8"/>
        <item x="9"/>
        <item x="7"/>
        <item x="19"/>
        <item x="15"/>
        <item x="3"/>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24">
    <i>
      <x/>
    </i>
    <i>
      <x v="1"/>
    </i>
    <i>
      <x v="2"/>
    </i>
    <i>
      <x v="3"/>
    </i>
    <i>
      <x v="4"/>
    </i>
    <i>
      <x v="5"/>
    </i>
    <i>
      <x v="6"/>
    </i>
    <i>
      <x v="7"/>
    </i>
    <i>
      <x v="8"/>
    </i>
    <i>
      <x v="9"/>
    </i>
    <i>
      <x v="10"/>
    </i>
    <i>
      <x v="11"/>
    </i>
    <i>
      <x v="12"/>
    </i>
    <i>
      <x v="13"/>
    </i>
    <i>
      <x v="14"/>
    </i>
    <i>
      <x v="15"/>
    </i>
    <i>
      <x v="16"/>
    </i>
    <i>
      <x v="17"/>
    </i>
    <i>
      <x v="18"/>
    </i>
    <i>
      <x v="19"/>
    </i>
    <i>
      <x v="20"/>
    </i>
    <i>
      <x v="21"/>
    </i>
    <i>
      <x v="22"/>
    </i>
    <i t="grand">
      <x/>
    </i>
  </rowItems>
  <colItems count="1">
    <i/>
  </colItems>
  <dataFields count="1">
    <dataField name="Sum of Total Votes Received(W)" fld="13" baseField="0" baseItem="0"/>
  </dataField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10"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9">
  <location ref="A13:B20" firstHeaderRow="1" firstDataRow="1" firstDataCol="1"/>
  <pivotFields count="25">
    <pivotField showAll="0"/>
    <pivotField showAll="0"/>
    <pivotField showAll="0"/>
    <pivotField showAll="0"/>
    <pivotField showAll="0"/>
    <pivotField showAll="0"/>
    <pivotField showAll="0"/>
    <pivotField axis="axisRow" showAll="0">
      <items count="7">
        <item x="2"/>
        <item x="3"/>
        <item x="5"/>
        <item x="0"/>
        <item x="4"/>
        <item x="1"/>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s>
  <rowFields count="1">
    <field x="7"/>
  </rowFields>
  <rowItems count="7">
    <i>
      <x/>
    </i>
    <i>
      <x v="1"/>
    </i>
    <i>
      <x v="2"/>
    </i>
    <i>
      <x v="3"/>
    </i>
    <i>
      <x v="4"/>
    </i>
    <i>
      <x v="5"/>
    </i>
    <i t="grand">
      <x/>
    </i>
  </rowItems>
  <colItems count="1">
    <i/>
  </colItems>
  <dataFields count="1">
    <dataField name="Count of Total Votes Received(W)" fld="13" subtotal="count" baseField="7" baseItem="0"/>
  </dataFields>
  <chartFormats count="9">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7" count="1" selected="0">
            <x v="0"/>
          </reference>
        </references>
      </pivotArea>
    </chartFormat>
    <chartFormat chart="8" format="9" series="1">
      <pivotArea type="data" outline="0" fieldPosition="0">
        <references count="1">
          <reference field="4294967294" count="1" selected="0">
            <x v="0"/>
          </reference>
        </references>
      </pivotArea>
    </chartFormat>
    <chartFormat chart="8" format="10">
      <pivotArea type="data" outline="0" fieldPosition="0">
        <references count="2">
          <reference field="4294967294" count="1" selected="0">
            <x v="0"/>
          </reference>
          <reference field="7" count="1" selected="0">
            <x v="0"/>
          </reference>
        </references>
      </pivotArea>
    </chartFormat>
    <chartFormat chart="8" format="11">
      <pivotArea type="data" outline="0" fieldPosition="0">
        <references count="2">
          <reference field="4294967294" count="1" selected="0">
            <x v="0"/>
          </reference>
          <reference field="7" count="1" selected="0">
            <x v="1"/>
          </reference>
        </references>
      </pivotArea>
    </chartFormat>
    <chartFormat chart="8" format="12">
      <pivotArea type="data" outline="0" fieldPosition="0">
        <references count="2">
          <reference field="4294967294" count="1" selected="0">
            <x v="0"/>
          </reference>
          <reference field="7" count="1" selected="0">
            <x v="2"/>
          </reference>
        </references>
      </pivotArea>
    </chartFormat>
    <chartFormat chart="8" format="13">
      <pivotArea type="data" outline="0" fieldPosition="0">
        <references count="2">
          <reference field="4294967294" count="1" selected="0">
            <x v="0"/>
          </reference>
          <reference field="7" count="1" selected="0">
            <x v="3"/>
          </reference>
        </references>
      </pivotArea>
    </chartFormat>
    <chartFormat chart="8" format="14">
      <pivotArea type="data" outline="0" fieldPosition="0">
        <references count="2">
          <reference field="4294967294" count="1" selected="0">
            <x v="0"/>
          </reference>
          <reference field="7" count="1" selected="0">
            <x v="4"/>
          </reference>
        </references>
      </pivotArea>
    </chartFormat>
    <chartFormat chart="8" format="15">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arty" sourceName="Party">
  <pivotTables>
    <pivotTable tabId="6" name="PivotTable5"/>
  </pivotTables>
  <data>
    <tabular pivotCacheId="1">
      <items count="6">
        <i x="2" s="1"/>
        <i x="3" s="1"/>
        <i x="5" s="1"/>
        <i x="0" s="1"/>
        <i x="4"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Region" sourceName="Region">
  <pivotTables>
    <pivotTable tabId="7" name="PivotTable6"/>
  </pivotTables>
  <data>
    <tabular pivotCacheId="1">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District" sourceName="District">
  <pivotTables>
    <pivotTable tabId="8" name="PivotTable7"/>
  </pivotTables>
  <data>
    <tabular pivotCacheId="1">
      <items count="23">
        <i x="2" s="1"/>
        <i x="20" s="1"/>
        <i x="17" s="1"/>
        <i x="16" s="1"/>
        <i x="10" s="1"/>
        <i x="14" s="1"/>
        <i x="13" s="1"/>
        <i x="1" s="1"/>
        <i x="6" s="1"/>
        <i x="5" s="1"/>
        <i x="4" s="1"/>
        <i x="11" s="1"/>
        <i x="21" s="1"/>
        <i x="18" s="1"/>
        <i x="12" s="1"/>
        <i x="0" s="1"/>
        <i x="22" s="1"/>
        <i x="8" s="1"/>
        <i x="9" s="1"/>
        <i x="7" s="1"/>
        <i x="19" s="1"/>
        <i x="15"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arty" cache="Slicer_Party" caption="Party" rowHeight="241300"/>
  <slicer name="Region" cache="Slicer_Region" caption="Region" rowHeight="241300"/>
  <slicer name="District" cache="Slicer_District" caption="District" rowHeight="241300"/>
</slicers>
</file>

<file path=xl/tables/table1.xml><?xml version="1.0" encoding="utf-8"?>
<table xmlns="http://schemas.openxmlformats.org/spreadsheetml/2006/main" id="1" name="Table1" displayName="Table1" ref="A1:Y118" totalsRowShown="0" headerRowDxfId="0">
  <autoFilter ref="A1:Y118"/>
  <tableColumns count="25">
    <tableColumn id="1" name="C.No." dataDxfId="2"/>
    <tableColumn id="2" name="Constituency" dataCellStyle="Normal 2"/>
    <tableColumn id="3" name="Winner" dataCellStyle="Normal 2"/>
    <tableColumn id="4" name="Region"/>
    <tableColumn id="5" name="District"/>
    <tableColumn id="6" name="Sex" dataCellStyle="Normal 2"/>
    <tableColumn id="7" name="Age"/>
    <tableColumn id="8" name="Party" dataCellStyle="Normal 2"/>
    <tableColumn id="9" name="Category"/>
    <tableColumn id="10" name="Total Voters"/>
    <tableColumn id="11" name="Total Polled Votes" dataDxfId="1"/>
    <tableColumn id="12" name="General Votes(W) "/>
    <tableColumn id="13" name="Postal Votes(W)"/>
    <tableColumn id="14" name="Total Votes Received(W)"/>
    <tableColumn id="15" name="Runner Up"/>
    <tableColumn id="16" name="Party(R)"/>
    <tableColumn id="17" name="Votes Received(R)"/>
    <tableColumn id="18" name="Gap(W-R)">
      <calculatedColumnFormula>N2-Q2</calculatedColumnFormula>
    </tableColumn>
    <tableColumn id="19" name="highs win"/>
    <tableColumn id="20" name="add"/>
    <tableColumn id="21" name="total  constituencies">
      <calculatedColumnFormula>COUNTA(A2:A118)</calculatedColumnFormula>
    </tableColumn>
    <tableColumn id="22" name="Total winning candidates">
      <calculatedColumnFormula>COUNTA(B2:B118)</calculatedColumnFormula>
    </tableColumn>
    <tableColumn id="23" name="high vote">
      <calculatedColumnFormula>MAX(N2:N118)</calculatedColumnFormula>
    </tableColumn>
    <tableColumn id="24" name="lowest votes">
      <calculatedColumnFormula>MIN(N2:N118)</calculatedColumnFormula>
    </tableColumn>
    <tableColumn id="25" name="total vote polled">
      <calculatedColumnFormula>SUM(K2:K118)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8.xml"/><Relationship Id="rId7" Type="http://schemas.microsoft.com/office/2007/relationships/slicer" Target="../slicers/slicer1.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rinterSettings" Target="../printerSettings/printerSettings1.bin"/><Relationship Id="rId4"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0"/>
  <sheetViews>
    <sheetView workbookViewId="0">
      <selection activeCell="A3" sqref="A3:B10"/>
    </sheetView>
  </sheetViews>
  <sheetFormatPr defaultRowHeight="15" x14ac:dyDescent="0.25"/>
  <cols>
    <col min="1" max="1" width="13.140625" bestFit="1" customWidth="1"/>
    <col min="2" max="2" width="31.7109375" bestFit="1" customWidth="1"/>
  </cols>
  <sheetData>
    <row r="3" spans="1:2" x14ac:dyDescent="0.25">
      <c r="A3" s="8" t="s">
        <v>400</v>
      </c>
      <c r="B3" t="s">
        <v>403</v>
      </c>
    </row>
    <row r="4" spans="1:2" x14ac:dyDescent="0.25">
      <c r="A4" s="5" t="s">
        <v>246</v>
      </c>
      <c r="B4" s="9">
        <v>92</v>
      </c>
    </row>
    <row r="5" spans="1:2" x14ac:dyDescent="0.25">
      <c r="A5" s="5" t="s">
        <v>247</v>
      </c>
      <c r="B5" s="9">
        <v>2</v>
      </c>
    </row>
    <row r="6" spans="1:2" x14ac:dyDescent="0.25">
      <c r="A6" s="5" t="s">
        <v>250</v>
      </c>
      <c r="B6" s="9">
        <v>1</v>
      </c>
    </row>
    <row r="7" spans="1:2" x14ac:dyDescent="0.25">
      <c r="A7" s="5" t="s">
        <v>245</v>
      </c>
      <c r="B7" s="9">
        <v>18</v>
      </c>
    </row>
    <row r="8" spans="1:2" x14ac:dyDescent="0.25">
      <c r="A8" s="5" t="s">
        <v>249</v>
      </c>
      <c r="B8" s="9">
        <v>1</v>
      </c>
    </row>
    <row r="9" spans="1:2" x14ac:dyDescent="0.25">
      <c r="A9" s="5" t="s">
        <v>248</v>
      </c>
      <c r="B9" s="9">
        <v>3</v>
      </c>
    </row>
    <row r="10" spans="1:2" x14ac:dyDescent="0.25">
      <c r="A10" s="5" t="s">
        <v>401</v>
      </c>
      <c r="B10" s="9">
        <v>117</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7"/>
    </sheetView>
  </sheetViews>
  <sheetFormatPr defaultRowHeight="15" x14ac:dyDescent="0.25"/>
  <cols>
    <col min="1" max="1" width="13.140625" bestFit="1" customWidth="1"/>
    <col min="2" max="2" width="30.28515625" bestFit="1" customWidth="1"/>
  </cols>
  <sheetData>
    <row r="3" spans="1:2" x14ac:dyDescent="0.25">
      <c r="A3" s="8" t="s">
        <v>400</v>
      </c>
      <c r="B3" t="s">
        <v>402</v>
      </c>
    </row>
    <row r="4" spans="1:2" x14ac:dyDescent="0.25">
      <c r="A4" s="5" t="s">
        <v>262</v>
      </c>
      <c r="B4" s="9">
        <v>1103754</v>
      </c>
    </row>
    <row r="5" spans="1:2" x14ac:dyDescent="0.25">
      <c r="A5" s="5" t="s">
        <v>261</v>
      </c>
      <c r="B5" s="9">
        <v>1323177</v>
      </c>
    </row>
    <row r="6" spans="1:2" x14ac:dyDescent="0.25">
      <c r="A6" s="5" t="s">
        <v>260</v>
      </c>
      <c r="B6" s="9">
        <v>4394906</v>
      </c>
    </row>
    <row r="7" spans="1:2" x14ac:dyDescent="0.25">
      <c r="A7" s="5" t="s">
        <v>401</v>
      </c>
      <c r="B7" s="9">
        <v>6821837</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27"/>
  <sheetViews>
    <sheetView workbookViewId="0">
      <selection activeCell="A3" sqref="A3:B27"/>
    </sheetView>
  </sheetViews>
  <sheetFormatPr defaultRowHeight="15" x14ac:dyDescent="0.25"/>
  <cols>
    <col min="1" max="1" width="16.28515625" bestFit="1" customWidth="1"/>
    <col min="2" max="2" width="30.28515625" bestFit="1" customWidth="1"/>
  </cols>
  <sheetData>
    <row r="3" spans="1:2" x14ac:dyDescent="0.25">
      <c r="A3" s="8" t="s">
        <v>400</v>
      </c>
      <c r="B3" t="s">
        <v>402</v>
      </c>
    </row>
    <row r="4" spans="1:2" x14ac:dyDescent="0.25">
      <c r="A4" s="5" t="s">
        <v>251</v>
      </c>
      <c r="B4" s="9">
        <v>579746</v>
      </c>
    </row>
    <row r="5" spans="1:2" x14ac:dyDescent="0.25">
      <c r="A5" s="5" t="s">
        <v>213</v>
      </c>
      <c r="B5" s="9">
        <v>241391</v>
      </c>
    </row>
    <row r="6" spans="1:2" x14ac:dyDescent="0.25">
      <c r="A6" s="5" t="s">
        <v>258</v>
      </c>
      <c r="B6" s="9">
        <v>402725</v>
      </c>
    </row>
    <row r="7" spans="1:2" x14ac:dyDescent="0.25">
      <c r="A7" s="5" t="s">
        <v>181</v>
      </c>
      <c r="B7" s="9">
        <v>193632</v>
      </c>
    </row>
    <row r="8" spans="1:2" x14ac:dyDescent="0.25">
      <c r="A8" s="5" t="s">
        <v>117</v>
      </c>
      <c r="B8" s="9">
        <v>106710</v>
      </c>
    </row>
    <row r="9" spans="1:2" x14ac:dyDescent="0.25">
      <c r="A9" s="5" t="s">
        <v>167</v>
      </c>
      <c r="B9" s="9">
        <v>256113</v>
      </c>
    </row>
    <row r="10" spans="1:2" x14ac:dyDescent="0.25">
      <c r="A10" s="5" t="s">
        <v>256</v>
      </c>
      <c r="B10" s="9">
        <v>261336</v>
      </c>
    </row>
    <row r="11" spans="1:2" x14ac:dyDescent="0.25">
      <c r="A11" s="5" t="s">
        <v>15</v>
      </c>
      <c r="B11" s="9">
        <v>406299</v>
      </c>
    </row>
    <row r="12" spans="1:2" x14ac:dyDescent="0.25">
      <c r="A12" s="5" t="s">
        <v>93</v>
      </c>
      <c r="B12" s="9">
        <v>298558</v>
      </c>
    </row>
    <row r="13" spans="1:2" x14ac:dyDescent="0.25">
      <c r="A13" s="5" t="s">
        <v>253</v>
      </c>
      <c r="B13" s="9">
        <v>462508</v>
      </c>
    </row>
    <row r="14" spans="1:2" x14ac:dyDescent="0.25">
      <c r="A14" s="5" t="s">
        <v>61</v>
      </c>
      <c r="B14" s="9">
        <v>221274</v>
      </c>
    </row>
    <row r="15" spans="1:2" x14ac:dyDescent="0.25">
      <c r="A15" s="5" t="s">
        <v>255</v>
      </c>
      <c r="B15" s="9">
        <v>822065</v>
      </c>
    </row>
    <row r="16" spans="1:2" x14ac:dyDescent="0.25">
      <c r="A16" s="5" t="s">
        <v>217</v>
      </c>
      <c r="B16" s="9">
        <v>118514</v>
      </c>
    </row>
    <row r="17" spans="1:2" x14ac:dyDescent="0.25">
      <c r="A17" s="5" t="s">
        <v>199</v>
      </c>
      <c r="B17" s="9">
        <v>229218</v>
      </c>
    </row>
    <row r="18" spans="1:2" x14ac:dyDescent="0.25">
      <c r="A18" s="5" t="s">
        <v>153</v>
      </c>
      <c r="B18" s="9">
        <v>257342</v>
      </c>
    </row>
    <row r="19" spans="1:2" x14ac:dyDescent="0.25">
      <c r="A19" s="5" t="s">
        <v>13</v>
      </c>
      <c r="B19" s="9">
        <v>147839</v>
      </c>
    </row>
    <row r="20" spans="1:2" x14ac:dyDescent="0.25">
      <c r="A20" s="5" t="s">
        <v>237</v>
      </c>
      <c r="B20" s="9">
        <v>592706</v>
      </c>
    </row>
    <row r="21" spans="1:2" x14ac:dyDescent="0.25">
      <c r="A21" s="5" t="s">
        <v>107</v>
      </c>
      <c r="B21" s="9">
        <v>146578</v>
      </c>
    </row>
    <row r="22" spans="1:2" x14ac:dyDescent="0.25">
      <c r="A22" s="5" t="s">
        <v>113</v>
      </c>
      <c r="B22" s="9">
        <v>168519</v>
      </c>
    </row>
    <row r="23" spans="1:2" x14ac:dyDescent="0.25">
      <c r="A23" s="5" t="s">
        <v>254</v>
      </c>
      <c r="B23" s="9">
        <v>121414</v>
      </c>
    </row>
    <row r="24" spans="1:2" x14ac:dyDescent="0.25">
      <c r="A24" s="5" t="s">
        <v>223</v>
      </c>
      <c r="B24" s="9">
        <v>334628</v>
      </c>
    </row>
    <row r="25" spans="1:2" x14ac:dyDescent="0.25">
      <c r="A25" s="5" t="s">
        <v>257</v>
      </c>
      <c r="B25" s="9">
        <v>263429</v>
      </c>
    </row>
    <row r="26" spans="1:2" x14ac:dyDescent="0.25">
      <c r="A26" s="5" t="s">
        <v>252</v>
      </c>
      <c r="B26" s="9">
        <v>189293</v>
      </c>
    </row>
    <row r="27" spans="1:2" x14ac:dyDescent="0.25">
      <c r="A27" s="5" t="s">
        <v>401</v>
      </c>
      <c r="B27" s="9">
        <v>6821837</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7"/>
  <sheetViews>
    <sheetView workbookViewId="0">
      <selection activeCell="A3" sqref="A3:B7"/>
    </sheetView>
  </sheetViews>
  <sheetFormatPr defaultRowHeight="15" x14ac:dyDescent="0.25"/>
  <cols>
    <col min="1" max="1" width="13.140625" bestFit="1" customWidth="1"/>
    <col min="2" max="2" width="15.85546875" bestFit="1" customWidth="1"/>
  </cols>
  <sheetData>
    <row r="3" spans="1:2" x14ac:dyDescent="0.25">
      <c r="A3" s="8" t="s">
        <v>400</v>
      </c>
      <c r="B3" t="s">
        <v>402</v>
      </c>
    </row>
    <row r="4" spans="1:2" x14ac:dyDescent="0.25">
      <c r="A4" s="5" t="s">
        <v>262</v>
      </c>
      <c r="B4" s="9">
        <v>1103754</v>
      </c>
    </row>
    <row r="5" spans="1:2" x14ac:dyDescent="0.25">
      <c r="A5" s="5" t="s">
        <v>261</v>
      </c>
      <c r="B5" s="9">
        <v>1323177</v>
      </c>
    </row>
    <row r="6" spans="1:2" x14ac:dyDescent="0.25">
      <c r="A6" s="5" t="s">
        <v>260</v>
      </c>
      <c r="B6" s="9">
        <v>4394906</v>
      </c>
    </row>
    <row r="7" spans="1:2" x14ac:dyDescent="0.25">
      <c r="A7" s="5" t="s">
        <v>401</v>
      </c>
      <c r="B7" s="9">
        <v>6821837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21"/>
  <sheetViews>
    <sheetView workbookViewId="0">
      <selection activeCell="S13" sqref="S13"/>
    </sheetView>
  </sheetViews>
  <sheetFormatPr defaultRowHeight="15" x14ac:dyDescent="0.25"/>
  <cols>
    <col min="1" max="1" width="17.42578125" bestFit="1" customWidth="1"/>
    <col min="2" max="2" width="16.5703125" bestFit="1" customWidth="1"/>
  </cols>
  <sheetData>
    <row r="3" spans="1:2" x14ac:dyDescent="0.25">
      <c r="A3" s="8" t="s">
        <v>400</v>
      </c>
      <c r="B3" t="s">
        <v>404</v>
      </c>
    </row>
    <row r="4" spans="1:2" x14ac:dyDescent="0.25">
      <c r="A4" s="5" t="s">
        <v>169</v>
      </c>
      <c r="B4" s="9">
        <v>27746</v>
      </c>
    </row>
    <row r="5" spans="1:2" x14ac:dyDescent="0.25">
      <c r="A5" s="5" t="s">
        <v>83</v>
      </c>
      <c r="B5" s="9">
        <v>11434</v>
      </c>
    </row>
    <row r="6" spans="1:2" x14ac:dyDescent="0.25">
      <c r="A6" s="5" t="s">
        <v>29</v>
      </c>
      <c r="B6" s="9">
        <v>15252</v>
      </c>
    </row>
    <row r="7" spans="1:2" x14ac:dyDescent="0.25">
      <c r="A7" s="5" t="s">
        <v>219</v>
      </c>
      <c r="B7" s="9">
        <v>30347</v>
      </c>
    </row>
    <row r="8" spans="1:2" x14ac:dyDescent="0.25">
      <c r="A8" s="5" t="s">
        <v>119</v>
      </c>
      <c r="B8" s="9">
        <v>5376</v>
      </c>
    </row>
    <row r="9" spans="1:2" x14ac:dyDescent="0.25">
      <c r="A9" s="5" t="s">
        <v>41</v>
      </c>
      <c r="B9" s="9">
        <v>7335</v>
      </c>
    </row>
    <row r="10" spans="1:2" x14ac:dyDescent="0.25">
      <c r="A10" s="5" t="s">
        <v>43</v>
      </c>
      <c r="B10" s="9">
        <v>7174</v>
      </c>
    </row>
    <row r="11" spans="1:2" x14ac:dyDescent="0.25">
      <c r="A11" s="5" t="s">
        <v>37</v>
      </c>
      <c r="B11" s="9">
        <v>1204</v>
      </c>
    </row>
    <row r="12" spans="1:2" x14ac:dyDescent="0.25">
      <c r="A12" s="5" t="s">
        <v>45</v>
      </c>
      <c r="B12" s="9">
        <v>28472</v>
      </c>
    </row>
    <row r="13" spans="1:2" x14ac:dyDescent="0.25">
      <c r="A13" s="5" t="s">
        <v>39</v>
      </c>
      <c r="B13" s="9">
        <v>7759</v>
      </c>
    </row>
    <row r="14" spans="1:2" x14ac:dyDescent="0.25">
      <c r="A14" s="5" t="s">
        <v>105</v>
      </c>
      <c r="B14" s="9">
        <v>8587</v>
      </c>
    </row>
    <row r="15" spans="1:2" x14ac:dyDescent="0.25">
      <c r="A15" s="5" t="s">
        <v>131</v>
      </c>
      <c r="B15" s="9">
        <v>32199</v>
      </c>
    </row>
    <row r="16" spans="1:2" x14ac:dyDescent="0.25">
      <c r="A16" s="5" t="s">
        <v>47</v>
      </c>
      <c r="B16" s="9">
        <v>16963</v>
      </c>
    </row>
    <row r="17" spans="1:2" x14ac:dyDescent="0.25">
      <c r="A17" s="5" t="s">
        <v>57</v>
      </c>
      <c r="B17" s="9">
        <v>25383</v>
      </c>
    </row>
    <row r="18" spans="1:2" x14ac:dyDescent="0.25">
      <c r="A18" s="5" t="s">
        <v>103</v>
      </c>
      <c r="B18" s="9">
        <v>2691</v>
      </c>
    </row>
    <row r="19" spans="1:2" x14ac:dyDescent="0.25">
      <c r="A19" s="5" t="s">
        <v>171</v>
      </c>
      <c r="B19" s="9">
        <v>10574</v>
      </c>
    </row>
    <row r="20" spans="1:2" x14ac:dyDescent="0.25">
      <c r="A20" s="5" t="s">
        <v>99</v>
      </c>
      <c r="B20" s="9">
        <v>5808</v>
      </c>
    </row>
    <row r="21" spans="1:2" x14ac:dyDescent="0.25">
      <c r="A21" s="5" t="s">
        <v>213</v>
      </c>
      <c r="B21" s="9">
        <v>75277</v>
      </c>
    </row>
    <row r="22" spans="1:2" x14ac:dyDescent="0.25">
      <c r="A22" s="5" t="s">
        <v>115</v>
      </c>
      <c r="B22" s="9">
        <v>4179</v>
      </c>
    </row>
    <row r="23" spans="1:2" x14ac:dyDescent="0.25">
      <c r="A23" s="5" t="s">
        <v>21</v>
      </c>
      <c r="B23" s="9">
        <v>26138</v>
      </c>
    </row>
    <row r="24" spans="1:2" x14ac:dyDescent="0.25">
      <c r="A24" s="5" t="s">
        <v>193</v>
      </c>
      <c r="B24" s="9">
        <v>10410</v>
      </c>
    </row>
    <row r="25" spans="1:2" x14ac:dyDescent="0.25">
      <c r="A25" s="5" t="s">
        <v>191</v>
      </c>
      <c r="B25" s="9">
        <v>32789</v>
      </c>
    </row>
    <row r="26" spans="1:2" x14ac:dyDescent="0.25">
      <c r="A26" s="5" t="s">
        <v>211</v>
      </c>
      <c r="B26" s="9">
        <v>50655</v>
      </c>
    </row>
    <row r="27" spans="1:2" x14ac:dyDescent="0.25">
      <c r="A27" s="5" t="s">
        <v>151</v>
      </c>
      <c r="B27" s="9">
        <v>57644</v>
      </c>
    </row>
    <row r="28" spans="1:2" x14ac:dyDescent="0.25">
      <c r="A28" s="5" t="s">
        <v>11</v>
      </c>
      <c r="B28" s="9">
        <v>26062</v>
      </c>
    </row>
    <row r="29" spans="1:2" x14ac:dyDescent="0.25">
      <c r="A29" s="5" t="s">
        <v>59</v>
      </c>
      <c r="B29" s="9">
        <v>28318</v>
      </c>
    </row>
    <row r="30" spans="1:2" x14ac:dyDescent="0.25">
      <c r="A30" s="5" t="s">
        <v>189</v>
      </c>
      <c r="B30" s="9">
        <v>21130</v>
      </c>
    </row>
    <row r="31" spans="1:2" x14ac:dyDescent="0.25">
      <c r="A31" s="5" t="s">
        <v>203</v>
      </c>
      <c r="B31" s="9">
        <v>63323</v>
      </c>
    </row>
    <row r="32" spans="1:2" x14ac:dyDescent="0.25">
      <c r="A32" s="5" t="s">
        <v>95</v>
      </c>
      <c r="B32" s="9">
        <v>247</v>
      </c>
    </row>
    <row r="33" spans="1:2" x14ac:dyDescent="0.25">
      <c r="A33" s="5" t="s">
        <v>109</v>
      </c>
      <c r="B33" s="9">
        <v>21356</v>
      </c>
    </row>
    <row r="34" spans="1:2" x14ac:dyDescent="0.25">
      <c r="A34" s="5" t="s">
        <v>143</v>
      </c>
      <c r="B34" s="9">
        <v>16354</v>
      </c>
    </row>
    <row r="35" spans="1:2" x14ac:dyDescent="0.25">
      <c r="A35" s="5" t="s">
        <v>87</v>
      </c>
      <c r="B35" s="9">
        <v>12303</v>
      </c>
    </row>
    <row r="36" spans="1:2" x14ac:dyDescent="0.25">
      <c r="A36" s="5" t="s">
        <v>27</v>
      </c>
      <c r="B36" s="9">
        <v>40261</v>
      </c>
    </row>
    <row r="37" spans="1:2" x14ac:dyDescent="0.25">
      <c r="A37" s="5" t="s">
        <v>231</v>
      </c>
      <c r="B37" s="9">
        <v>21721</v>
      </c>
    </row>
    <row r="38" spans="1:2" x14ac:dyDescent="0.25">
      <c r="A38" s="5" t="s">
        <v>155</v>
      </c>
      <c r="B38" s="9">
        <v>5807</v>
      </c>
    </row>
    <row r="39" spans="1:2" x14ac:dyDescent="0.25">
      <c r="A39" s="5" t="s">
        <v>221</v>
      </c>
      <c r="B39" s="9">
        <v>21686</v>
      </c>
    </row>
    <row r="40" spans="1:2" x14ac:dyDescent="0.25">
      <c r="A40" s="5" t="s">
        <v>17</v>
      </c>
      <c r="B40" s="9">
        <v>4541</v>
      </c>
    </row>
    <row r="41" spans="1:2" x14ac:dyDescent="0.25">
      <c r="A41" s="5" t="s">
        <v>207</v>
      </c>
      <c r="B41" s="9">
        <v>51691</v>
      </c>
    </row>
    <row r="42" spans="1:2" x14ac:dyDescent="0.25">
      <c r="A42" s="5" t="s">
        <v>181</v>
      </c>
      <c r="B42" s="9">
        <v>11396</v>
      </c>
    </row>
    <row r="43" spans="1:2" x14ac:dyDescent="0.25">
      <c r="A43" s="5" t="s">
        <v>25</v>
      </c>
      <c r="B43" s="9">
        <v>20915</v>
      </c>
    </row>
    <row r="44" spans="1:2" x14ac:dyDescent="0.25">
      <c r="A44" s="5" t="s">
        <v>117</v>
      </c>
      <c r="B44" s="9">
        <v>5069</v>
      </c>
    </row>
    <row r="45" spans="1:2" x14ac:dyDescent="0.25">
      <c r="A45" s="5" t="s">
        <v>167</v>
      </c>
      <c r="B45" s="9">
        <v>19569</v>
      </c>
    </row>
    <row r="46" spans="1:2" x14ac:dyDescent="0.25">
      <c r="A46" s="5" t="s">
        <v>159</v>
      </c>
      <c r="B46" s="9">
        <v>37984</v>
      </c>
    </row>
    <row r="47" spans="1:2" x14ac:dyDescent="0.25">
      <c r="A47" s="5" t="s">
        <v>161</v>
      </c>
      <c r="B47" s="9">
        <v>33759</v>
      </c>
    </row>
    <row r="48" spans="1:2" x14ac:dyDescent="0.25">
      <c r="A48" s="5" t="s">
        <v>97</v>
      </c>
      <c r="B48" s="9">
        <v>9486</v>
      </c>
    </row>
    <row r="49" spans="1:2" x14ac:dyDescent="0.25">
      <c r="A49" s="5" t="s">
        <v>233</v>
      </c>
      <c r="B49" s="9">
        <v>31765</v>
      </c>
    </row>
    <row r="50" spans="1:2" x14ac:dyDescent="0.25">
      <c r="A50" s="5" t="s">
        <v>175</v>
      </c>
      <c r="B50" s="9">
        <v>27720</v>
      </c>
    </row>
    <row r="51" spans="1:2" x14ac:dyDescent="0.25">
      <c r="A51" s="5" t="s">
        <v>139</v>
      </c>
      <c r="B51" s="9">
        <v>15193</v>
      </c>
    </row>
    <row r="52" spans="1:2" x14ac:dyDescent="0.25">
      <c r="A52" s="5" t="s">
        <v>15</v>
      </c>
      <c r="B52" s="9">
        <v>2869</v>
      </c>
    </row>
    <row r="53" spans="1:2" x14ac:dyDescent="0.25">
      <c r="A53" s="5" t="s">
        <v>163</v>
      </c>
      <c r="B53" s="9">
        <v>29972</v>
      </c>
    </row>
    <row r="54" spans="1:2" x14ac:dyDescent="0.25">
      <c r="A54" s="5" t="s">
        <v>93</v>
      </c>
      <c r="B54" s="9">
        <v>4253</v>
      </c>
    </row>
    <row r="55" spans="1:2" x14ac:dyDescent="0.25">
      <c r="A55" s="5" t="s">
        <v>147</v>
      </c>
      <c r="B55" s="9">
        <v>7512</v>
      </c>
    </row>
    <row r="56" spans="1:2" x14ac:dyDescent="0.25">
      <c r="A56" s="5" t="s">
        <v>185</v>
      </c>
      <c r="B56" s="9">
        <v>34194</v>
      </c>
    </row>
    <row r="57" spans="1:2" x14ac:dyDescent="0.25">
      <c r="A57" s="5" t="s">
        <v>165</v>
      </c>
      <c r="B57" s="9">
        <v>22776</v>
      </c>
    </row>
    <row r="58" spans="1:2" x14ac:dyDescent="0.25">
      <c r="A58" s="5" t="s">
        <v>81</v>
      </c>
      <c r="B58" s="9">
        <v>7304</v>
      </c>
    </row>
    <row r="59" spans="1:2" x14ac:dyDescent="0.25">
      <c r="A59" s="5" t="s">
        <v>77</v>
      </c>
      <c r="B59" s="9">
        <v>19552</v>
      </c>
    </row>
    <row r="60" spans="1:2" x14ac:dyDescent="0.25">
      <c r="A60" s="5" t="s">
        <v>79</v>
      </c>
      <c r="B60" s="9">
        <v>9225</v>
      </c>
    </row>
    <row r="61" spans="1:2" x14ac:dyDescent="0.25">
      <c r="A61" s="5" t="s">
        <v>75</v>
      </c>
      <c r="B61" s="9">
        <v>16491</v>
      </c>
    </row>
    <row r="62" spans="1:2" x14ac:dyDescent="0.25">
      <c r="A62" s="5" t="s">
        <v>35</v>
      </c>
      <c r="B62" s="9">
        <v>4636</v>
      </c>
    </row>
    <row r="63" spans="1:2" x14ac:dyDescent="0.25">
      <c r="A63" s="5" t="s">
        <v>61</v>
      </c>
      <c r="B63" s="9">
        <v>43913</v>
      </c>
    </row>
    <row r="64" spans="1:2" x14ac:dyDescent="0.25">
      <c r="A64" s="5" t="s">
        <v>73</v>
      </c>
      <c r="B64" s="9">
        <v>10999</v>
      </c>
    </row>
    <row r="65" spans="1:2" x14ac:dyDescent="0.25">
      <c r="A65" s="5" t="s">
        <v>55</v>
      </c>
      <c r="B65" s="9">
        <v>5474</v>
      </c>
    </row>
    <row r="66" spans="1:2" x14ac:dyDescent="0.25">
      <c r="A66" s="5" t="s">
        <v>121</v>
      </c>
      <c r="B66" s="9">
        <v>45780</v>
      </c>
    </row>
    <row r="67" spans="1:2" x14ac:dyDescent="0.25">
      <c r="A67" s="5" t="s">
        <v>111</v>
      </c>
      <c r="B67" s="9">
        <v>13859</v>
      </c>
    </row>
    <row r="68" spans="1:2" x14ac:dyDescent="0.25">
      <c r="A68" s="5" t="s">
        <v>51</v>
      </c>
      <c r="B68" s="9">
        <v>466</v>
      </c>
    </row>
    <row r="69" spans="1:2" x14ac:dyDescent="0.25">
      <c r="A69" s="5" t="s">
        <v>183</v>
      </c>
      <c r="B69" s="9">
        <v>1349</v>
      </c>
    </row>
    <row r="70" spans="1:2" x14ac:dyDescent="0.25">
      <c r="A70" s="5" t="s">
        <v>173</v>
      </c>
      <c r="B70" s="9">
        <v>30930</v>
      </c>
    </row>
    <row r="71" spans="1:2" x14ac:dyDescent="0.25">
      <c r="A71" s="5" t="s">
        <v>205</v>
      </c>
      <c r="B71" s="9">
        <v>41371</v>
      </c>
    </row>
    <row r="72" spans="1:2" x14ac:dyDescent="0.25">
      <c r="A72" s="5" t="s">
        <v>133</v>
      </c>
      <c r="B72" s="9">
        <v>24663</v>
      </c>
    </row>
    <row r="73" spans="1:2" x14ac:dyDescent="0.25">
      <c r="A73" s="5" t="s">
        <v>127</v>
      </c>
      <c r="B73" s="9">
        <v>34097</v>
      </c>
    </row>
    <row r="74" spans="1:2" x14ac:dyDescent="0.25">
      <c r="A74" s="5" t="s">
        <v>137</v>
      </c>
      <c r="B74" s="9">
        <v>30890</v>
      </c>
    </row>
    <row r="75" spans="1:2" x14ac:dyDescent="0.25">
      <c r="A75" s="5" t="s">
        <v>129</v>
      </c>
      <c r="B75" s="9">
        <v>37841</v>
      </c>
    </row>
    <row r="76" spans="1:2" x14ac:dyDescent="0.25">
      <c r="A76" s="5" t="s">
        <v>135</v>
      </c>
      <c r="B76" s="9">
        <v>35620</v>
      </c>
    </row>
    <row r="77" spans="1:2" x14ac:dyDescent="0.25">
      <c r="A77" s="5" t="s">
        <v>33</v>
      </c>
      <c r="B77" s="9">
        <v>22493</v>
      </c>
    </row>
    <row r="78" spans="1:2" x14ac:dyDescent="0.25">
      <c r="A78" s="5" t="s">
        <v>217</v>
      </c>
      <c r="B78" s="9">
        <v>37622</v>
      </c>
    </row>
    <row r="79" spans="1:2" x14ac:dyDescent="0.25">
      <c r="A79" s="5" t="s">
        <v>177</v>
      </c>
      <c r="B79" s="9">
        <v>5471</v>
      </c>
    </row>
    <row r="80" spans="1:2" x14ac:dyDescent="0.25">
      <c r="A80" s="5" t="s">
        <v>199</v>
      </c>
      <c r="B80" s="9">
        <v>35479</v>
      </c>
    </row>
    <row r="81" spans="1:2" x14ac:dyDescent="0.25">
      <c r="A81" s="5" t="s">
        <v>197</v>
      </c>
      <c r="B81" s="9">
        <v>63581</v>
      </c>
    </row>
    <row r="82" spans="1:2" x14ac:dyDescent="0.25">
      <c r="A82" s="5" t="s">
        <v>215</v>
      </c>
      <c r="B82" s="9">
        <v>37558</v>
      </c>
    </row>
    <row r="83" spans="1:2" x14ac:dyDescent="0.25">
      <c r="A83" s="5" t="s">
        <v>153</v>
      </c>
      <c r="B83" s="9">
        <v>33009</v>
      </c>
    </row>
    <row r="84" spans="1:2" x14ac:dyDescent="0.25">
      <c r="A84" s="5" t="s">
        <v>85</v>
      </c>
      <c r="B84" s="9">
        <v>2712</v>
      </c>
    </row>
    <row r="85" spans="1:2" x14ac:dyDescent="0.25">
      <c r="A85" s="5" t="s">
        <v>179</v>
      </c>
      <c r="B85" s="9">
        <v>19173</v>
      </c>
    </row>
    <row r="86" spans="1:2" x14ac:dyDescent="0.25">
      <c r="A86" s="5" t="s">
        <v>225</v>
      </c>
      <c r="B86" s="9">
        <v>58206</v>
      </c>
    </row>
    <row r="87" spans="1:2" x14ac:dyDescent="0.25">
      <c r="A87" s="5" t="s">
        <v>69</v>
      </c>
      <c r="B87" s="9">
        <v>13588</v>
      </c>
    </row>
    <row r="88" spans="1:2" x14ac:dyDescent="0.25">
      <c r="A88" s="5" t="s">
        <v>101</v>
      </c>
      <c r="B88" s="9">
        <v>4567</v>
      </c>
    </row>
    <row r="89" spans="1:2" x14ac:dyDescent="0.25">
      <c r="A89" s="5" t="s">
        <v>149</v>
      </c>
      <c r="B89" s="9">
        <v>15282</v>
      </c>
    </row>
    <row r="90" spans="1:2" x14ac:dyDescent="0.25">
      <c r="A90" s="5" t="s">
        <v>13</v>
      </c>
      <c r="B90" s="9">
        <v>6750</v>
      </c>
    </row>
    <row r="91" spans="1:2" x14ac:dyDescent="0.25">
      <c r="A91" s="5" t="s">
        <v>237</v>
      </c>
      <c r="B91" s="9">
        <v>19873</v>
      </c>
    </row>
    <row r="92" spans="1:2" x14ac:dyDescent="0.25">
      <c r="A92" s="5" t="s">
        <v>227</v>
      </c>
      <c r="B92" s="9">
        <v>52600</v>
      </c>
    </row>
    <row r="93" spans="1:2" x14ac:dyDescent="0.25">
      <c r="A93" s="5" t="s">
        <v>53</v>
      </c>
      <c r="B93" s="9">
        <v>7843</v>
      </c>
    </row>
    <row r="94" spans="1:2" x14ac:dyDescent="0.25">
      <c r="A94" s="5" t="s">
        <v>141</v>
      </c>
      <c r="B94" s="9">
        <v>35922</v>
      </c>
    </row>
    <row r="95" spans="1:2" x14ac:dyDescent="0.25">
      <c r="A95" s="5" t="s">
        <v>65</v>
      </c>
      <c r="B95" s="9">
        <v>27503</v>
      </c>
    </row>
    <row r="96" spans="1:2" x14ac:dyDescent="0.25">
      <c r="A96" s="5" t="s">
        <v>67</v>
      </c>
      <c r="B96" s="9">
        <v>19794</v>
      </c>
    </row>
    <row r="97" spans="1:2" x14ac:dyDescent="0.25">
      <c r="A97" s="5" t="s">
        <v>19</v>
      </c>
      <c r="B97" s="9">
        <v>37885</v>
      </c>
    </row>
    <row r="98" spans="1:2" x14ac:dyDescent="0.25">
      <c r="A98" s="5" t="s">
        <v>145</v>
      </c>
      <c r="B98" s="9">
        <v>4804</v>
      </c>
    </row>
    <row r="99" spans="1:2" x14ac:dyDescent="0.25">
      <c r="A99" s="5" t="s">
        <v>31</v>
      </c>
      <c r="B99" s="9">
        <v>36430</v>
      </c>
    </row>
    <row r="100" spans="1:2" x14ac:dyDescent="0.25">
      <c r="A100" s="5" t="s">
        <v>229</v>
      </c>
      <c r="B100" s="9">
        <v>53474</v>
      </c>
    </row>
    <row r="101" spans="1:2" x14ac:dyDescent="0.25">
      <c r="A101" s="5" t="s">
        <v>187</v>
      </c>
      <c r="B101" s="9">
        <v>16797</v>
      </c>
    </row>
    <row r="102" spans="1:2" x14ac:dyDescent="0.25">
      <c r="A102" s="5" t="s">
        <v>107</v>
      </c>
      <c r="B102" s="9">
        <v>4190</v>
      </c>
    </row>
    <row r="103" spans="1:2" x14ac:dyDescent="0.25">
      <c r="A103" s="5" t="s">
        <v>113</v>
      </c>
      <c r="B103" s="9">
        <v>7646</v>
      </c>
    </row>
    <row r="104" spans="1:2" x14ac:dyDescent="0.25">
      <c r="A104" s="5" t="s">
        <v>125</v>
      </c>
      <c r="B104" s="9">
        <v>7942</v>
      </c>
    </row>
    <row r="105" spans="1:2" x14ac:dyDescent="0.25">
      <c r="A105" s="5" t="s">
        <v>239</v>
      </c>
      <c r="B105" s="9">
        <v>39713</v>
      </c>
    </row>
    <row r="106" spans="1:2" x14ac:dyDescent="0.25">
      <c r="A106" s="5" t="s">
        <v>123</v>
      </c>
      <c r="B106" s="9">
        <v>23632</v>
      </c>
    </row>
    <row r="107" spans="1:2" x14ac:dyDescent="0.25">
      <c r="A107" s="5" t="s">
        <v>223</v>
      </c>
      <c r="B107" s="9">
        <v>6043</v>
      </c>
    </row>
    <row r="108" spans="1:2" x14ac:dyDescent="0.25">
      <c r="A108" s="5" t="s">
        <v>235</v>
      </c>
      <c r="B108" s="9">
        <v>49122</v>
      </c>
    </row>
    <row r="109" spans="1:2" x14ac:dyDescent="0.25">
      <c r="A109" s="5" t="s">
        <v>201</v>
      </c>
      <c r="B109" s="9">
        <v>35008</v>
      </c>
    </row>
    <row r="110" spans="1:2" x14ac:dyDescent="0.25">
      <c r="A110" s="5" t="s">
        <v>71</v>
      </c>
      <c r="B110" s="9">
        <v>11882</v>
      </c>
    </row>
    <row r="111" spans="1:2" x14ac:dyDescent="0.25">
      <c r="A111" s="5" t="s">
        <v>91</v>
      </c>
      <c r="B111" s="9">
        <v>4574</v>
      </c>
    </row>
    <row r="112" spans="1:2" x14ac:dyDescent="0.25">
      <c r="A112" s="5" t="s">
        <v>241</v>
      </c>
      <c r="B112" s="9">
        <v>51554</v>
      </c>
    </row>
    <row r="113" spans="1:2" x14ac:dyDescent="0.25">
      <c r="A113" s="5" t="s">
        <v>23</v>
      </c>
      <c r="B113" s="9">
        <v>39656</v>
      </c>
    </row>
    <row r="114" spans="1:2" x14ac:dyDescent="0.25">
      <c r="A114" s="5" t="s">
        <v>9</v>
      </c>
      <c r="B114" s="9">
        <v>1131</v>
      </c>
    </row>
    <row r="115" spans="1:2" x14ac:dyDescent="0.25">
      <c r="A115" s="5" t="s">
        <v>63</v>
      </c>
      <c r="B115" s="9">
        <v>14026</v>
      </c>
    </row>
    <row r="116" spans="1:2" x14ac:dyDescent="0.25">
      <c r="A116" s="5" t="s">
        <v>209</v>
      </c>
      <c r="B116" s="9">
        <v>26518</v>
      </c>
    </row>
    <row r="117" spans="1:2" x14ac:dyDescent="0.25">
      <c r="A117" s="5" t="s">
        <v>195</v>
      </c>
      <c r="B117" s="9">
        <v>50212</v>
      </c>
    </row>
    <row r="118" spans="1:2" x14ac:dyDescent="0.25">
      <c r="A118" s="5" t="s">
        <v>49</v>
      </c>
      <c r="B118" s="9">
        <v>5545</v>
      </c>
    </row>
    <row r="119" spans="1:2" x14ac:dyDescent="0.25">
      <c r="A119" s="5" t="s">
        <v>89</v>
      </c>
      <c r="B119" s="9">
        <v>12079</v>
      </c>
    </row>
    <row r="120" spans="1:2" x14ac:dyDescent="0.25">
      <c r="A120" s="5" t="s">
        <v>157</v>
      </c>
      <c r="B120" s="9">
        <v>27644</v>
      </c>
    </row>
    <row r="121" spans="1:2" x14ac:dyDescent="0.25">
      <c r="A121" s="5" t="s">
        <v>401</v>
      </c>
      <c r="B121" s="9">
        <v>2651621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E47"/>
  <sheetViews>
    <sheetView tabSelected="1" workbookViewId="0">
      <selection activeCell="P24" sqref="P24"/>
    </sheetView>
  </sheetViews>
  <sheetFormatPr defaultRowHeight="15" x14ac:dyDescent="0.25"/>
  <cols>
    <col min="1" max="1" width="9.140625" style="10"/>
    <col min="2" max="2" width="17.28515625" style="10" customWidth="1"/>
    <col min="3" max="16384" width="9.140625" style="10"/>
  </cols>
  <sheetData>
    <row r="5" spans="1:5" ht="31.5" x14ac:dyDescent="0.5">
      <c r="B5" s="12" t="s">
        <v>405</v>
      </c>
    </row>
    <row r="7" spans="1:5" ht="28.5" x14ac:dyDescent="0.45">
      <c r="B7" s="11" t="s">
        <v>406</v>
      </c>
    </row>
    <row r="13" spans="1:5" x14ac:dyDescent="0.25">
      <c r="A13" s="8" t="s">
        <v>400</v>
      </c>
      <c r="B13" t="s">
        <v>403</v>
      </c>
      <c r="D13" s="8" t="s">
        <v>400</v>
      </c>
      <c r="E13" t="s">
        <v>402</v>
      </c>
    </row>
    <row r="14" spans="1:5" x14ac:dyDescent="0.25">
      <c r="A14" s="5" t="s">
        <v>246</v>
      </c>
      <c r="B14" s="9">
        <v>92</v>
      </c>
      <c r="D14" s="5" t="s">
        <v>262</v>
      </c>
      <c r="E14" s="9">
        <v>1103754</v>
      </c>
    </row>
    <row r="15" spans="1:5" x14ac:dyDescent="0.25">
      <c r="A15" s="5" t="s">
        <v>247</v>
      </c>
      <c r="B15" s="9">
        <v>2</v>
      </c>
      <c r="D15" s="5" t="s">
        <v>261</v>
      </c>
      <c r="E15" s="9">
        <v>1323177</v>
      </c>
    </row>
    <row r="16" spans="1:5" x14ac:dyDescent="0.25">
      <c r="A16" s="5" t="s">
        <v>250</v>
      </c>
      <c r="B16" s="9">
        <v>1</v>
      </c>
      <c r="D16" s="5" t="s">
        <v>260</v>
      </c>
      <c r="E16" s="9">
        <v>4394906</v>
      </c>
    </row>
    <row r="17" spans="1:5" x14ac:dyDescent="0.25">
      <c r="A17" s="5" t="s">
        <v>245</v>
      </c>
      <c r="B17" s="9">
        <v>18</v>
      </c>
      <c r="D17" s="5" t="s">
        <v>401</v>
      </c>
      <c r="E17" s="9">
        <v>6821837</v>
      </c>
    </row>
    <row r="18" spans="1:5" x14ac:dyDescent="0.25">
      <c r="A18" s="5" t="s">
        <v>249</v>
      </c>
      <c r="B18" s="9">
        <v>1</v>
      </c>
    </row>
    <row r="19" spans="1:5" x14ac:dyDescent="0.25">
      <c r="A19" s="5" t="s">
        <v>248</v>
      </c>
      <c r="B19" s="9">
        <v>3</v>
      </c>
    </row>
    <row r="20" spans="1:5" x14ac:dyDescent="0.25">
      <c r="A20" s="5" t="s">
        <v>401</v>
      </c>
      <c r="B20" s="9">
        <v>117</v>
      </c>
    </row>
    <row r="22" spans="1:5" x14ac:dyDescent="0.25">
      <c r="D22" s="8" t="s">
        <v>400</v>
      </c>
      <c r="E22" t="s">
        <v>402</v>
      </c>
    </row>
    <row r="23" spans="1:5" x14ac:dyDescent="0.25">
      <c r="A23" s="8" t="s">
        <v>400</v>
      </c>
      <c r="B23" t="s">
        <v>402</v>
      </c>
      <c r="D23" s="5" t="s">
        <v>262</v>
      </c>
      <c r="E23" s="9">
        <v>1103754</v>
      </c>
    </row>
    <row r="24" spans="1:5" x14ac:dyDescent="0.25">
      <c r="A24" s="5" t="s">
        <v>251</v>
      </c>
      <c r="B24" s="9">
        <v>579746</v>
      </c>
      <c r="D24" s="5" t="s">
        <v>261</v>
      </c>
      <c r="E24" s="9">
        <v>1323177</v>
      </c>
    </row>
    <row r="25" spans="1:5" x14ac:dyDescent="0.25">
      <c r="A25" s="5" t="s">
        <v>213</v>
      </c>
      <c r="B25" s="9">
        <v>241391</v>
      </c>
      <c r="D25" s="5" t="s">
        <v>260</v>
      </c>
      <c r="E25" s="9">
        <v>4394906</v>
      </c>
    </row>
    <row r="26" spans="1:5" x14ac:dyDescent="0.25">
      <c r="A26" s="5" t="s">
        <v>258</v>
      </c>
      <c r="B26" s="9">
        <v>402725</v>
      </c>
      <c r="D26" s="5" t="s">
        <v>401</v>
      </c>
      <c r="E26" s="9">
        <v>6821837</v>
      </c>
    </row>
    <row r="27" spans="1:5" x14ac:dyDescent="0.25">
      <c r="A27" s="5" t="s">
        <v>181</v>
      </c>
      <c r="B27" s="9">
        <v>193632</v>
      </c>
    </row>
    <row r="28" spans="1:5" x14ac:dyDescent="0.25">
      <c r="A28" s="5" t="s">
        <v>117</v>
      </c>
      <c r="B28" s="9">
        <v>106710</v>
      </c>
    </row>
    <row r="29" spans="1:5" x14ac:dyDescent="0.25">
      <c r="A29" s="5" t="s">
        <v>167</v>
      </c>
      <c r="B29" s="9">
        <v>256113</v>
      </c>
    </row>
    <row r="30" spans="1:5" x14ac:dyDescent="0.25">
      <c r="A30" s="5" t="s">
        <v>256</v>
      </c>
      <c r="B30" s="9">
        <v>261336</v>
      </c>
    </row>
    <row r="31" spans="1:5" x14ac:dyDescent="0.25">
      <c r="A31" s="5" t="s">
        <v>15</v>
      </c>
      <c r="B31" s="9">
        <v>406299</v>
      </c>
    </row>
    <row r="32" spans="1:5" x14ac:dyDescent="0.25">
      <c r="A32" s="5" t="s">
        <v>93</v>
      </c>
      <c r="B32" s="9">
        <v>298558</v>
      </c>
    </row>
    <row r="33" spans="1:2" x14ac:dyDescent="0.25">
      <c r="A33" s="5" t="s">
        <v>253</v>
      </c>
      <c r="B33" s="9">
        <v>462508</v>
      </c>
    </row>
    <row r="34" spans="1:2" x14ac:dyDescent="0.25">
      <c r="A34" s="5" t="s">
        <v>61</v>
      </c>
      <c r="B34" s="9">
        <v>221274</v>
      </c>
    </row>
    <row r="35" spans="1:2" x14ac:dyDescent="0.25">
      <c r="A35" s="5" t="s">
        <v>255</v>
      </c>
      <c r="B35" s="9">
        <v>822065</v>
      </c>
    </row>
    <row r="36" spans="1:2" x14ac:dyDescent="0.25">
      <c r="A36" s="5" t="s">
        <v>217</v>
      </c>
      <c r="B36" s="9">
        <v>118514</v>
      </c>
    </row>
    <row r="37" spans="1:2" x14ac:dyDescent="0.25">
      <c r="A37" s="5" t="s">
        <v>199</v>
      </c>
      <c r="B37" s="9">
        <v>229218</v>
      </c>
    </row>
    <row r="38" spans="1:2" x14ac:dyDescent="0.25">
      <c r="A38" s="5" t="s">
        <v>153</v>
      </c>
      <c r="B38" s="9">
        <v>257342</v>
      </c>
    </row>
    <row r="39" spans="1:2" x14ac:dyDescent="0.25">
      <c r="A39" s="5" t="s">
        <v>13</v>
      </c>
      <c r="B39" s="9">
        <v>147839</v>
      </c>
    </row>
    <row r="40" spans="1:2" x14ac:dyDescent="0.25">
      <c r="A40" s="5" t="s">
        <v>237</v>
      </c>
      <c r="B40" s="9">
        <v>592706</v>
      </c>
    </row>
    <row r="41" spans="1:2" x14ac:dyDescent="0.25">
      <c r="A41" s="5" t="s">
        <v>107</v>
      </c>
      <c r="B41" s="9">
        <v>146578</v>
      </c>
    </row>
    <row r="42" spans="1:2" x14ac:dyDescent="0.25">
      <c r="A42" s="5" t="s">
        <v>113</v>
      </c>
      <c r="B42" s="9">
        <v>168519</v>
      </c>
    </row>
    <row r="43" spans="1:2" x14ac:dyDescent="0.25">
      <c r="A43" s="5" t="s">
        <v>254</v>
      </c>
      <c r="B43" s="9">
        <v>121414</v>
      </c>
    </row>
    <row r="44" spans="1:2" x14ac:dyDescent="0.25">
      <c r="A44" s="5" t="s">
        <v>223</v>
      </c>
      <c r="B44" s="9">
        <v>334628</v>
      </c>
    </row>
    <row r="45" spans="1:2" x14ac:dyDescent="0.25">
      <c r="A45" s="5" t="s">
        <v>257</v>
      </c>
      <c r="B45" s="9">
        <v>263429</v>
      </c>
    </row>
    <row r="46" spans="1:2" x14ac:dyDescent="0.25">
      <c r="A46" s="5" t="s">
        <v>252</v>
      </c>
      <c r="B46" s="9">
        <v>189293</v>
      </c>
    </row>
    <row r="47" spans="1:2" x14ac:dyDescent="0.25">
      <c r="A47" s="5" t="s">
        <v>401</v>
      </c>
      <c r="B47" s="9">
        <v>6821837</v>
      </c>
    </row>
  </sheetData>
  <pageMargins left="0.7" right="0.7" top="0.75" bottom="0.75" header="0.3" footer="0.3"/>
  <pageSetup orientation="portrait" r:id="rId5"/>
  <drawing r:id="rId6"/>
  <extLst>
    <ext xmlns:x14="http://schemas.microsoft.com/office/spreadsheetml/2009/9/main" uri="{A8765BA9-456A-4dab-B4F3-ACF838C121DE}">
      <x14:slicerList>
        <x14:slicer r:id="rId7"/>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18"/>
  <sheetViews>
    <sheetView topLeftCell="A2" zoomScale="70" zoomScaleNormal="70" workbookViewId="0">
      <selection activeCell="C13" sqref="A1:Y118"/>
    </sheetView>
  </sheetViews>
  <sheetFormatPr defaultRowHeight="15" x14ac:dyDescent="0.25"/>
  <cols>
    <col min="1" max="1" width="9.85546875" style="5" customWidth="1"/>
    <col min="2" max="2" width="26.5703125" customWidth="1"/>
    <col min="3" max="3" width="32.28515625" customWidth="1"/>
    <col min="4" max="4" width="11.42578125" customWidth="1"/>
    <col min="5" max="5" width="16.28515625" customWidth="1"/>
    <col min="6" max="6" width="9.7109375" customWidth="1"/>
    <col min="8" max="8" width="9.42578125" customWidth="1"/>
    <col min="9" max="9" width="13.7109375" customWidth="1"/>
    <col min="10" max="10" width="17.140625" customWidth="1"/>
    <col min="11" max="11" width="24.140625" customWidth="1"/>
    <col min="12" max="12" width="23.85546875" customWidth="1"/>
    <col min="13" max="13" width="21.42578125" customWidth="1"/>
    <col min="14" max="14" width="31.28515625" customWidth="1"/>
    <col min="15" max="15" width="42" customWidth="1"/>
    <col min="16" max="16" width="12.7109375" customWidth="1"/>
    <col min="17" max="17" width="24.42578125" customWidth="1"/>
    <col min="18" max="18" width="14.7109375" customWidth="1"/>
    <col min="19" max="19" width="13.85546875" customWidth="1"/>
    <col min="21" max="21" width="33.5703125" customWidth="1"/>
    <col min="22" max="22" width="31.5703125" customWidth="1"/>
    <col min="23" max="23" width="33.5703125" customWidth="1"/>
    <col min="24" max="24" width="19" customWidth="1"/>
    <col min="25" max="25" width="21.5703125" customWidth="1"/>
    <col min="26" max="26" width="16.85546875" customWidth="1"/>
  </cols>
  <sheetData>
    <row r="1" spans="1:26" x14ac:dyDescent="0.25">
      <c r="A1" s="6" t="s">
        <v>259</v>
      </c>
      <c r="B1" s="4" t="s">
        <v>0</v>
      </c>
      <c r="C1" s="4" t="s">
        <v>3</v>
      </c>
      <c r="D1" s="4" t="s">
        <v>2</v>
      </c>
      <c r="E1" s="4" t="s">
        <v>1</v>
      </c>
      <c r="F1" s="4" t="s">
        <v>6</v>
      </c>
      <c r="G1" s="4" t="s">
        <v>5</v>
      </c>
      <c r="H1" s="4" t="s">
        <v>4</v>
      </c>
      <c r="I1" s="4" t="s">
        <v>7</v>
      </c>
      <c r="J1" s="4" t="s">
        <v>8</v>
      </c>
      <c r="K1" s="4" t="s">
        <v>265</v>
      </c>
      <c r="L1" s="4" t="s">
        <v>266</v>
      </c>
      <c r="M1" s="4" t="s">
        <v>267</v>
      </c>
      <c r="N1" s="4" t="s">
        <v>268</v>
      </c>
      <c r="O1" s="4" t="s">
        <v>269</v>
      </c>
      <c r="P1" s="4" t="s">
        <v>270</v>
      </c>
      <c r="Q1" s="4" t="s">
        <v>271</v>
      </c>
      <c r="R1" s="4" t="s">
        <v>391</v>
      </c>
      <c r="S1" s="4" t="s">
        <v>398</v>
      </c>
      <c r="T1" s="4" t="s">
        <v>399</v>
      </c>
      <c r="U1" s="4" t="s">
        <v>392</v>
      </c>
      <c r="V1" s="4" t="s">
        <v>393</v>
      </c>
      <c r="W1" s="4" t="s">
        <v>394</v>
      </c>
      <c r="X1" s="4" t="s">
        <v>395</v>
      </c>
      <c r="Y1" s="4" t="s">
        <v>396</v>
      </c>
      <c r="Z1" s="4" t="s">
        <v>397</v>
      </c>
    </row>
    <row r="2" spans="1:26" x14ac:dyDescent="0.25">
      <c r="A2" s="5">
        <v>1</v>
      </c>
      <c r="B2" s="1" t="s">
        <v>9</v>
      </c>
      <c r="C2" s="1" t="s">
        <v>10</v>
      </c>
      <c r="D2" t="s">
        <v>261</v>
      </c>
      <c r="E2" t="s">
        <v>13</v>
      </c>
      <c r="F2" s="2" t="s">
        <v>244</v>
      </c>
      <c r="G2">
        <v>64</v>
      </c>
      <c r="H2" s="3" t="s">
        <v>245</v>
      </c>
      <c r="I2" t="s">
        <v>264</v>
      </c>
      <c r="J2">
        <v>196692</v>
      </c>
      <c r="K2" s="7">
        <v>139708</v>
      </c>
      <c r="L2">
        <v>50547</v>
      </c>
      <c r="M2">
        <v>586</v>
      </c>
      <c r="N2">
        <v>51133</v>
      </c>
      <c r="O2" t="s">
        <v>276</v>
      </c>
      <c r="P2" t="s">
        <v>246</v>
      </c>
      <c r="Q2">
        <v>50002</v>
      </c>
      <c r="R2">
        <f>N2-Q2</f>
        <v>1131</v>
      </c>
      <c r="U2">
        <f>COUNTA(A2:A118)</f>
        <v>117</v>
      </c>
      <c r="V2">
        <f>COUNTA(B2:B118)</f>
        <v>117</v>
      </c>
      <c r="W2">
        <f>MAX(N2:N118)</f>
        <v>100023</v>
      </c>
      <c r="X2">
        <f>MIN(N2:N118)</f>
        <v>32341</v>
      </c>
      <c r="Y2">
        <f>SUM(K2:K118)</f>
        <v>15563732</v>
      </c>
    </row>
    <row r="3" spans="1:26" x14ac:dyDescent="0.25">
      <c r="A3" s="5">
        <v>2</v>
      </c>
      <c r="B3" s="1" t="s">
        <v>11</v>
      </c>
      <c r="C3" s="1" t="s">
        <v>12</v>
      </c>
      <c r="D3" t="s">
        <v>261</v>
      </c>
      <c r="E3" t="s">
        <v>13</v>
      </c>
      <c r="F3" s="2" t="s">
        <v>244</v>
      </c>
      <c r="G3">
        <v>46</v>
      </c>
      <c r="H3" s="3" t="s">
        <v>248</v>
      </c>
      <c r="I3" t="s">
        <v>263</v>
      </c>
      <c r="J3">
        <v>167775</v>
      </c>
      <c r="K3" s="7">
        <v>122152</v>
      </c>
      <c r="L3">
        <v>56839</v>
      </c>
      <c r="M3">
        <v>188</v>
      </c>
      <c r="N3">
        <v>57027</v>
      </c>
      <c r="O3" t="s">
        <v>284</v>
      </c>
      <c r="P3" t="s">
        <v>246</v>
      </c>
      <c r="Q3">
        <v>30965</v>
      </c>
      <c r="R3">
        <f>N3-Q3</f>
        <v>26062</v>
      </c>
      <c r="U3">
        <f t="shared" ref="U3:U66" si="0">COUNTA(A3:A119)</f>
        <v>116</v>
      </c>
      <c r="V3">
        <f t="shared" ref="V3:V66" si="1">COUNTA(B3:B119)</f>
        <v>116</v>
      </c>
      <c r="W3">
        <f t="shared" ref="W3:W66" si="2">MAX(N3:N119)</f>
        <v>100023</v>
      </c>
      <c r="X3">
        <f t="shared" ref="X3:X66" si="3">MIN(N3:N119)</f>
        <v>32341</v>
      </c>
      <c r="Y3">
        <f t="shared" ref="Y3:Y66" si="4">SUM(K3:K119)</f>
        <v>15424024</v>
      </c>
    </row>
    <row r="4" spans="1:26" x14ac:dyDescent="0.25">
      <c r="A4" s="5">
        <v>3</v>
      </c>
      <c r="B4" s="1" t="s">
        <v>13</v>
      </c>
      <c r="C4" s="1" t="s">
        <v>14</v>
      </c>
      <c r="D4" t="s">
        <v>261</v>
      </c>
      <c r="E4" t="s">
        <v>13</v>
      </c>
      <c r="F4" s="2" t="s">
        <v>244</v>
      </c>
      <c r="G4">
        <v>50</v>
      </c>
      <c r="H4" s="3" t="s">
        <v>246</v>
      </c>
      <c r="I4" t="s">
        <v>263</v>
      </c>
      <c r="J4">
        <v>168300</v>
      </c>
      <c r="K4" s="7">
        <v>108003</v>
      </c>
      <c r="L4">
        <v>39520</v>
      </c>
      <c r="M4">
        <v>159</v>
      </c>
      <c r="N4">
        <v>39679</v>
      </c>
      <c r="O4" t="s">
        <v>289</v>
      </c>
      <c r="P4" t="s">
        <v>245</v>
      </c>
      <c r="Q4">
        <v>32929</v>
      </c>
      <c r="R4">
        <f>N4-Q4</f>
        <v>6750</v>
      </c>
      <c r="U4">
        <f t="shared" si="0"/>
        <v>115</v>
      </c>
      <c r="V4">
        <f t="shared" si="1"/>
        <v>115</v>
      </c>
      <c r="W4">
        <f t="shared" si="2"/>
        <v>100023</v>
      </c>
      <c r="X4">
        <f t="shared" si="3"/>
        <v>32341</v>
      </c>
      <c r="Y4">
        <f t="shared" si="4"/>
        <v>15301872</v>
      </c>
    </row>
    <row r="5" spans="1:26" x14ac:dyDescent="0.25">
      <c r="A5" s="5">
        <v>4</v>
      </c>
      <c r="B5" s="1" t="s">
        <v>15</v>
      </c>
      <c r="C5" s="1" t="s">
        <v>16</v>
      </c>
      <c r="D5" t="s">
        <v>261</v>
      </c>
      <c r="E5" t="s">
        <v>15</v>
      </c>
      <c r="F5" s="2" t="s">
        <v>244</v>
      </c>
      <c r="G5">
        <v>53</v>
      </c>
      <c r="H5" s="3" t="s">
        <v>246</v>
      </c>
      <c r="I5" t="s">
        <v>263</v>
      </c>
      <c r="J5">
        <v>194933</v>
      </c>
      <c r="K5" s="7">
        <v>134163</v>
      </c>
      <c r="L5">
        <v>42689</v>
      </c>
      <c r="M5">
        <v>179</v>
      </c>
      <c r="N5">
        <v>42868</v>
      </c>
      <c r="O5" t="s">
        <v>302</v>
      </c>
      <c r="P5" t="s">
        <v>248</v>
      </c>
      <c r="Q5">
        <v>39999</v>
      </c>
      <c r="R5">
        <f>N5-Q5</f>
        <v>2869</v>
      </c>
      <c r="U5">
        <f t="shared" si="0"/>
        <v>114</v>
      </c>
      <c r="V5">
        <f t="shared" si="1"/>
        <v>114</v>
      </c>
      <c r="W5">
        <f t="shared" si="2"/>
        <v>100023</v>
      </c>
      <c r="X5">
        <f t="shared" si="3"/>
        <v>32341</v>
      </c>
      <c r="Y5">
        <f t="shared" si="4"/>
        <v>15193869</v>
      </c>
    </row>
    <row r="6" spans="1:26" x14ac:dyDescent="0.25">
      <c r="A6" s="5">
        <v>5</v>
      </c>
      <c r="B6" s="1" t="s">
        <v>17</v>
      </c>
      <c r="C6" s="1" t="s">
        <v>18</v>
      </c>
      <c r="D6" t="s">
        <v>261</v>
      </c>
      <c r="E6" t="s">
        <v>15</v>
      </c>
      <c r="F6" s="2" t="s">
        <v>244</v>
      </c>
      <c r="G6">
        <v>55</v>
      </c>
      <c r="H6" s="3" t="s">
        <v>246</v>
      </c>
      <c r="I6" t="s">
        <v>263</v>
      </c>
      <c r="J6">
        <v>156218</v>
      </c>
      <c r="K6" s="7">
        <v>114964</v>
      </c>
      <c r="L6">
        <v>39168</v>
      </c>
      <c r="M6">
        <v>465</v>
      </c>
      <c r="N6">
        <v>39633</v>
      </c>
      <c r="O6" t="s">
        <v>319</v>
      </c>
      <c r="P6" t="s">
        <v>248</v>
      </c>
      <c r="Q6">
        <v>35092</v>
      </c>
      <c r="R6">
        <f>N6-Q6</f>
        <v>4541</v>
      </c>
      <c r="U6">
        <f t="shared" si="0"/>
        <v>113</v>
      </c>
      <c r="V6">
        <f t="shared" si="1"/>
        <v>113</v>
      </c>
      <c r="W6">
        <f t="shared" si="2"/>
        <v>100023</v>
      </c>
      <c r="X6">
        <f t="shared" si="3"/>
        <v>32341</v>
      </c>
      <c r="Y6">
        <f t="shared" si="4"/>
        <v>15059706</v>
      </c>
    </row>
    <row r="7" spans="1:26" x14ac:dyDescent="0.25">
      <c r="A7" s="5">
        <v>6</v>
      </c>
      <c r="B7" s="1" t="s">
        <v>19</v>
      </c>
      <c r="C7" s="1" t="s">
        <v>20</v>
      </c>
      <c r="D7" t="s">
        <v>261</v>
      </c>
      <c r="E7" t="s">
        <v>15</v>
      </c>
      <c r="F7" s="2" t="s">
        <v>244</v>
      </c>
      <c r="G7">
        <v>31</v>
      </c>
      <c r="H7" s="3" t="s">
        <v>246</v>
      </c>
      <c r="I7" t="s">
        <v>263</v>
      </c>
      <c r="J7">
        <v>267219</v>
      </c>
      <c r="K7" s="7">
        <v>176684</v>
      </c>
      <c r="L7">
        <v>78067</v>
      </c>
      <c r="M7">
        <v>206</v>
      </c>
      <c r="N7">
        <v>78273</v>
      </c>
      <c r="O7" t="s">
        <v>323</v>
      </c>
      <c r="P7" t="s">
        <v>248</v>
      </c>
      <c r="Q7">
        <v>40388</v>
      </c>
      <c r="R7">
        <f>N7-Q7</f>
        <v>37885</v>
      </c>
      <c r="U7">
        <f t="shared" si="0"/>
        <v>112</v>
      </c>
      <c r="V7">
        <f t="shared" si="1"/>
        <v>112</v>
      </c>
      <c r="W7">
        <f t="shared" si="2"/>
        <v>100023</v>
      </c>
      <c r="X7">
        <f t="shared" si="3"/>
        <v>32341</v>
      </c>
      <c r="Y7">
        <f t="shared" si="4"/>
        <v>14944742</v>
      </c>
    </row>
    <row r="8" spans="1:26" x14ac:dyDescent="0.25">
      <c r="A8" s="5">
        <v>7</v>
      </c>
      <c r="B8" s="1" t="s">
        <v>21</v>
      </c>
      <c r="C8" s="1" t="s">
        <v>22</v>
      </c>
      <c r="D8" t="s">
        <v>261</v>
      </c>
      <c r="E8" t="s">
        <v>15</v>
      </c>
      <c r="F8" s="2" t="s">
        <v>244</v>
      </c>
      <c r="G8">
        <v>56</v>
      </c>
      <c r="H8" s="3" t="s">
        <v>246</v>
      </c>
      <c r="I8" t="s">
        <v>263</v>
      </c>
      <c r="J8">
        <v>178311</v>
      </c>
      <c r="K8" s="7">
        <v>105427</v>
      </c>
      <c r="L8">
        <v>43697</v>
      </c>
      <c r="M8">
        <v>114</v>
      </c>
      <c r="N8">
        <v>43811</v>
      </c>
      <c r="O8" t="s">
        <v>332</v>
      </c>
      <c r="P8" t="s">
        <v>247</v>
      </c>
      <c r="Q8">
        <v>17673</v>
      </c>
      <c r="R8">
        <f>N8-Q8</f>
        <v>26138</v>
      </c>
      <c r="U8">
        <f t="shared" si="0"/>
        <v>111</v>
      </c>
      <c r="V8">
        <f t="shared" si="1"/>
        <v>111</v>
      </c>
      <c r="W8">
        <f t="shared" si="2"/>
        <v>100023</v>
      </c>
      <c r="X8">
        <f t="shared" si="3"/>
        <v>32341</v>
      </c>
      <c r="Y8">
        <f t="shared" si="4"/>
        <v>14768058</v>
      </c>
    </row>
    <row r="9" spans="1:26" x14ac:dyDescent="0.25">
      <c r="A9" s="5">
        <v>8</v>
      </c>
      <c r="B9" s="1" t="s">
        <v>23</v>
      </c>
      <c r="C9" s="1" t="s">
        <v>24</v>
      </c>
      <c r="D9" t="s">
        <v>261</v>
      </c>
      <c r="E9" t="s">
        <v>15</v>
      </c>
      <c r="F9" s="2" t="s">
        <v>244</v>
      </c>
      <c r="G9">
        <v>49</v>
      </c>
      <c r="H9" s="3" t="s">
        <v>246</v>
      </c>
      <c r="I9" t="s">
        <v>264</v>
      </c>
      <c r="J9">
        <v>185401</v>
      </c>
      <c r="K9" s="7">
        <v>125503</v>
      </c>
      <c r="L9">
        <v>64749</v>
      </c>
      <c r="M9">
        <v>446</v>
      </c>
      <c r="N9">
        <v>65195</v>
      </c>
      <c r="O9" t="s">
        <v>341</v>
      </c>
      <c r="P9" t="s">
        <v>248</v>
      </c>
      <c r="Q9">
        <v>25539</v>
      </c>
      <c r="R9">
        <f>N9-Q9</f>
        <v>39656</v>
      </c>
      <c r="U9">
        <f t="shared" si="0"/>
        <v>110</v>
      </c>
      <c r="V9">
        <f t="shared" si="1"/>
        <v>110</v>
      </c>
      <c r="W9">
        <f t="shared" si="2"/>
        <v>100023</v>
      </c>
      <c r="X9">
        <f t="shared" si="3"/>
        <v>32341</v>
      </c>
      <c r="Y9">
        <f t="shared" si="4"/>
        <v>14662631</v>
      </c>
    </row>
    <row r="10" spans="1:26" x14ac:dyDescent="0.25">
      <c r="A10" s="5">
        <v>9</v>
      </c>
      <c r="B10" s="1" t="s">
        <v>25</v>
      </c>
      <c r="C10" s="1" t="s">
        <v>26</v>
      </c>
      <c r="D10" t="s">
        <v>261</v>
      </c>
      <c r="E10" t="s">
        <v>15</v>
      </c>
      <c r="F10" s="2" t="s">
        <v>244</v>
      </c>
      <c r="G10">
        <v>39</v>
      </c>
      <c r="H10" s="3" t="s">
        <v>246</v>
      </c>
      <c r="I10" t="s">
        <v>263</v>
      </c>
      <c r="J10">
        <v>203919</v>
      </c>
      <c r="K10" s="7">
        <v>144232</v>
      </c>
      <c r="L10">
        <v>58813</v>
      </c>
      <c r="M10">
        <v>336</v>
      </c>
      <c r="N10">
        <v>59149</v>
      </c>
      <c r="O10" t="s">
        <v>344</v>
      </c>
      <c r="P10" t="s">
        <v>245</v>
      </c>
      <c r="Q10">
        <v>38234</v>
      </c>
      <c r="R10">
        <f>N10-Q10</f>
        <v>20915</v>
      </c>
      <c r="U10">
        <f t="shared" si="0"/>
        <v>109</v>
      </c>
      <c r="V10">
        <f t="shared" si="1"/>
        <v>109</v>
      </c>
      <c r="W10">
        <f t="shared" si="2"/>
        <v>100023</v>
      </c>
      <c r="X10">
        <f t="shared" si="3"/>
        <v>32341</v>
      </c>
      <c r="Y10">
        <f t="shared" si="4"/>
        <v>14537128</v>
      </c>
    </row>
    <row r="11" spans="1:26" x14ac:dyDescent="0.25">
      <c r="A11" s="5">
        <v>10</v>
      </c>
      <c r="B11" s="1" t="s">
        <v>27</v>
      </c>
      <c r="C11" s="1" t="s">
        <v>28</v>
      </c>
      <c r="D11" t="s">
        <v>261</v>
      </c>
      <c r="E11" t="s">
        <v>15</v>
      </c>
      <c r="F11" s="2" t="s">
        <v>244</v>
      </c>
      <c r="G11">
        <v>46</v>
      </c>
      <c r="H11" s="3" t="s">
        <v>246</v>
      </c>
      <c r="I11" t="s">
        <v>264</v>
      </c>
      <c r="J11">
        <v>176928</v>
      </c>
      <c r="K11" s="7">
        <v>139167</v>
      </c>
      <c r="L11">
        <v>76460</v>
      </c>
      <c r="M11">
        <v>910</v>
      </c>
      <c r="N11">
        <v>77370</v>
      </c>
      <c r="O11" t="s">
        <v>356</v>
      </c>
      <c r="P11" t="s">
        <v>248</v>
      </c>
      <c r="Q11">
        <v>37109</v>
      </c>
      <c r="R11">
        <f>N11-Q11</f>
        <v>40261</v>
      </c>
      <c r="U11">
        <f t="shared" si="0"/>
        <v>108</v>
      </c>
      <c r="V11">
        <f t="shared" si="1"/>
        <v>108</v>
      </c>
      <c r="W11">
        <f t="shared" si="2"/>
        <v>100023</v>
      </c>
      <c r="X11">
        <f t="shared" si="3"/>
        <v>32341</v>
      </c>
      <c r="Y11">
        <f t="shared" si="4"/>
        <v>14392896</v>
      </c>
    </row>
    <row r="12" spans="1:26" x14ac:dyDescent="0.25">
      <c r="A12" s="5">
        <v>11</v>
      </c>
      <c r="B12" s="1" t="s">
        <v>29</v>
      </c>
      <c r="C12" s="1" t="s">
        <v>30</v>
      </c>
      <c r="D12" t="s">
        <v>261</v>
      </c>
      <c r="E12" t="s">
        <v>251</v>
      </c>
      <c r="F12" s="2" t="s">
        <v>244</v>
      </c>
      <c r="G12">
        <v>37</v>
      </c>
      <c r="H12" s="3" t="s">
        <v>246</v>
      </c>
      <c r="I12" t="s">
        <v>263</v>
      </c>
      <c r="J12">
        <v>157176</v>
      </c>
      <c r="K12" s="7">
        <v>131606</v>
      </c>
      <c r="L12">
        <v>48358</v>
      </c>
      <c r="M12">
        <v>395</v>
      </c>
      <c r="N12">
        <v>48753</v>
      </c>
      <c r="O12" t="s">
        <v>365</v>
      </c>
      <c r="P12" t="s">
        <v>248</v>
      </c>
      <c r="Q12">
        <v>33501</v>
      </c>
      <c r="R12">
        <f>N12-Q12</f>
        <v>15252</v>
      </c>
      <c r="U12">
        <f t="shared" si="0"/>
        <v>107</v>
      </c>
      <c r="V12">
        <f t="shared" si="1"/>
        <v>107</v>
      </c>
      <c r="W12">
        <f t="shared" si="2"/>
        <v>100023</v>
      </c>
      <c r="X12">
        <f t="shared" si="3"/>
        <v>32341</v>
      </c>
      <c r="Y12">
        <f t="shared" si="4"/>
        <v>14253729</v>
      </c>
    </row>
    <row r="13" spans="1:26" x14ac:dyDescent="0.25">
      <c r="A13" s="5">
        <v>12</v>
      </c>
      <c r="B13" s="1" t="s">
        <v>31</v>
      </c>
      <c r="C13" s="1" t="s">
        <v>32</v>
      </c>
      <c r="D13" t="s">
        <v>261</v>
      </c>
      <c r="E13" t="s">
        <v>251</v>
      </c>
      <c r="F13" s="2" t="s">
        <v>244</v>
      </c>
      <c r="G13">
        <v>27</v>
      </c>
      <c r="H13" s="3" t="s">
        <v>246</v>
      </c>
      <c r="I13" t="s">
        <v>263</v>
      </c>
      <c r="J13">
        <v>190530</v>
      </c>
      <c r="K13" s="7">
        <v>144873</v>
      </c>
      <c r="L13">
        <v>74047</v>
      </c>
      <c r="M13">
        <v>804</v>
      </c>
      <c r="N13">
        <v>74851</v>
      </c>
      <c r="O13" t="s">
        <v>378</v>
      </c>
      <c r="P13" t="s">
        <v>245</v>
      </c>
      <c r="Q13">
        <v>38421</v>
      </c>
      <c r="R13">
        <f>N13-Q13</f>
        <v>36430</v>
      </c>
      <c r="U13">
        <f t="shared" si="0"/>
        <v>106</v>
      </c>
      <c r="V13">
        <f t="shared" si="1"/>
        <v>106</v>
      </c>
      <c r="W13">
        <f t="shared" si="2"/>
        <v>100023</v>
      </c>
      <c r="X13">
        <f t="shared" si="3"/>
        <v>32341</v>
      </c>
      <c r="Y13">
        <f t="shared" si="4"/>
        <v>14122123</v>
      </c>
    </row>
    <row r="14" spans="1:26" x14ac:dyDescent="0.25">
      <c r="A14" s="5">
        <v>13</v>
      </c>
      <c r="B14" s="1" t="s">
        <v>33</v>
      </c>
      <c r="C14" s="1" t="s">
        <v>34</v>
      </c>
      <c r="D14" t="s">
        <v>261</v>
      </c>
      <c r="E14" t="s">
        <v>251</v>
      </c>
      <c r="F14" s="2" t="s">
        <v>244</v>
      </c>
      <c r="G14">
        <v>50</v>
      </c>
      <c r="H14" s="3" t="s">
        <v>246</v>
      </c>
      <c r="I14" t="s">
        <v>263</v>
      </c>
      <c r="J14">
        <v>182694</v>
      </c>
      <c r="K14" s="7">
        <v>136759</v>
      </c>
      <c r="L14">
        <v>54617</v>
      </c>
      <c r="M14">
        <v>217</v>
      </c>
      <c r="N14">
        <v>54834</v>
      </c>
      <c r="O14" t="s">
        <v>381</v>
      </c>
      <c r="P14" t="s">
        <v>247</v>
      </c>
      <c r="Q14">
        <v>32341</v>
      </c>
      <c r="R14">
        <f>N14-Q14</f>
        <v>22493</v>
      </c>
      <c r="U14">
        <f t="shared" si="0"/>
        <v>105</v>
      </c>
      <c r="V14">
        <f t="shared" si="1"/>
        <v>105</v>
      </c>
      <c r="W14">
        <f t="shared" si="2"/>
        <v>100023</v>
      </c>
      <c r="X14">
        <f t="shared" si="3"/>
        <v>32341</v>
      </c>
      <c r="Y14">
        <f t="shared" si="4"/>
        <v>13977250</v>
      </c>
    </row>
    <row r="15" spans="1:26" x14ac:dyDescent="0.25">
      <c r="A15" s="5">
        <v>14</v>
      </c>
      <c r="B15" s="1" t="s">
        <v>35</v>
      </c>
      <c r="C15" s="1" t="s">
        <v>36</v>
      </c>
      <c r="D15" t="s">
        <v>261</v>
      </c>
      <c r="E15" t="s">
        <v>251</v>
      </c>
      <c r="F15" s="2" t="s">
        <v>243</v>
      </c>
      <c r="G15">
        <v>52</v>
      </c>
      <c r="H15" s="3" t="s">
        <v>245</v>
      </c>
      <c r="I15" t="s">
        <v>263</v>
      </c>
      <c r="J15">
        <v>170312</v>
      </c>
      <c r="K15" s="7">
        <v>129351</v>
      </c>
      <c r="L15">
        <v>46456</v>
      </c>
      <c r="M15">
        <v>460</v>
      </c>
      <c r="N15">
        <v>46916</v>
      </c>
      <c r="O15" t="s">
        <v>272</v>
      </c>
      <c r="P15" t="s">
        <v>247</v>
      </c>
      <c r="Q15">
        <v>42280</v>
      </c>
      <c r="R15">
        <f>N15-Q15</f>
        <v>4636</v>
      </c>
      <c r="U15">
        <f t="shared" si="0"/>
        <v>104</v>
      </c>
      <c r="V15">
        <f t="shared" si="1"/>
        <v>104</v>
      </c>
      <c r="W15">
        <f t="shared" si="2"/>
        <v>100023</v>
      </c>
      <c r="X15">
        <f t="shared" si="3"/>
        <v>32341</v>
      </c>
      <c r="Y15">
        <f t="shared" si="4"/>
        <v>13840491</v>
      </c>
    </row>
    <row r="16" spans="1:26" x14ac:dyDescent="0.25">
      <c r="A16" s="5">
        <v>15</v>
      </c>
      <c r="B16" s="1" t="s">
        <v>37</v>
      </c>
      <c r="C16" s="1" t="s">
        <v>38</v>
      </c>
      <c r="D16" t="s">
        <v>261</v>
      </c>
      <c r="E16" t="s">
        <v>251</v>
      </c>
      <c r="F16" s="2" t="s">
        <v>243</v>
      </c>
      <c r="G16">
        <v>51</v>
      </c>
      <c r="H16" s="3" t="s">
        <v>246</v>
      </c>
      <c r="I16" t="s">
        <v>264</v>
      </c>
      <c r="J16">
        <v>186914</v>
      </c>
      <c r="K16" s="7">
        <v>137572</v>
      </c>
      <c r="L16">
        <v>49504</v>
      </c>
      <c r="M16">
        <v>835</v>
      </c>
      <c r="N16">
        <v>50339</v>
      </c>
      <c r="O16" t="s">
        <v>273</v>
      </c>
      <c r="P16" t="s">
        <v>245</v>
      </c>
      <c r="Q16">
        <v>49135</v>
      </c>
      <c r="R16">
        <f>N16-Q16</f>
        <v>1204</v>
      </c>
      <c r="U16">
        <f t="shared" si="0"/>
        <v>103</v>
      </c>
      <c r="V16">
        <f t="shared" si="1"/>
        <v>103</v>
      </c>
      <c r="W16">
        <f t="shared" si="2"/>
        <v>100023</v>
      </c>
      <c r="X16">
        <f t="shared" si="3"/>
        <v>32341</v>
      </c>
      <c r="Y16">
        <f t="shared" si="4"/>
        <v>13711140</v>
      </c>
    </row>
    <row r="17" spans="1:25" x14ac:dyDescent="0.25">
      <c r="A17" s="5">
        <v>16</v>
      </c>
      <c r="B17" s="1" t="s">
        <v>39</v>
      </c>
      <c r="C17" s="1" t="s">
        <v>40</v>
      </c>
      <c r="D17" t="s">
        <v>261</v>
      </c>
      <c r="E17" t="s">
        <v>251</v>
      </c>
      <c r="F17" s="2" t="s">
        <v>243</v>
      </c>
      <c r="G17">
        <v>57</v>
      </c>
      <c r="H17" s="3" t="s">
        <v>247</v>
      </c>
      <c r="I17" t="s">
        <v>263</v>
      </c>
      <c r="J17">
        <v>153731</v>
      </c>
      <c r="K17" s="7">
        <v>113480</v>
      </c>
      <c r="L17">
        <v>42787</v>
      </c>
      <c r="M17">
        <v>345</v>
      </c>
      <c r="N17">
        <v>43132</v>
      </c>
      <c r="O17" t="s">
        <v>274</v>
      </c>
      <c r="P17" t="s">
        <v>245</v>
      </c>
      <c r="Q17">
        <v>35373</v>
      </c>
      <c r="R17">
        <f>N17-Q17</f>
        <v>7759</v>
      </c>
      <c r="U17">
        <f t="shared" si="0"/>
        <v>102</v>
      </c>
      <c r="V17">
        <f t="shared" si="1"/>
        <v>102</v>
      </c>
      <c r="W17">
        <f t="shared" si="2"/>
        <v>100023</v>
      </c>
      <c r="X17">
        <f t="shared" si="3"/>
        <v>32341</v>
      </c>
      <c r="Y17">
        <f t="shared" si="4"/>
        <v>13573568</v>
      </c>
    </row>
    <row r="18" spans="1:25" x14ac:dyDescent="0.25">
      <c r="A18" s="5">
        <v>17</v>
      </c>
      <c r="B18" s="1" t="s">
        <v>41</v>
      </c>
      <c r="C18" s="1" t="s">
        <v>42</v>
      </c>
      <c r="D18" t="s">
        <v>261</v>
      </c>
      <c r="E18" t="s">
        <v>251</v>
      </c>
      <c r="F18" s="2" t="s">
        <v>243</v>
      </c>
      <c r="G18">
        <v>41</v>
      </c>
      <c r="H18" s="3" t="s">
        <v>245</v>
      </c>
      <c r="I18" t="s">
        <v>263</v>
      </c>
      <c r="J18">
        <v>171576</v>
      </c>
      <c r="K18" s="7">
        <v>124152</v>
      </c>
      <c r="L18">
        <v>42955</v>
      </c>
      <c r="M18">
        <v>788</v>
      </c>
      <c r="N18">
        <v>43743</v>
      </c>
      <c r="O18" t="s">
        <v>275</v>
      </c>
      <c r="P18" t="s">
        <v>248</v>
      </c>
      <c r="Q18">
        <v>36408</v>
      </c>
      <c r="R18">
        <f>N18-Q18</f>
        <v>7335</v>
      </c>
      <c r="U18">
        <f t="shared" si="0"/>
        <v>101</v>
      </c>
      <c r="V18">
        <f t="shared" si="1"/>
        <v>101</v>
      </c>
      <c r="W18">
        <f t="shared" si="2"/>
        <v>100023</v>
      </c>
      <c r="X18">
        <f t="shared" si="3"/>
        <v>32341</v>
      </c>
      <c r="Y18">
        <f t="shared" si="4"/>
        <v>13460088</v>
      </c>
    </row>
    <row r="19" spans="1:25" x14ac:dyDescent="0.25">
      <c r="A19" s="5">
        <v>18</v>
      </c>
      <c r="B19" s="1" t="s">
        <v>43</v>
      </c>
      <c r="C19" s="1" t="s">
        <v>44</v>
      </c>
      <c r="D19" t="s">
        <v>261</v>
      </c>
      <c r="E19" t="s">
        <v>251</v>
      </c>
      <c r="F19" s="2" t="s">
        <v>243</v>
      </c>
      <c r="G19">
        <v>65</v>
      </c>
      <c r="H19" s="3" t="s">
        <v>245</v>
      </c>
      <c r="I19" t="s">
        <v>263</v>
      </c>
      <c r="J19">
        <v>184557</v>
      </c>
      <c r="K19" s="7">
        <v>133183</v>
      </c>
      <c r="L19">
        <v>48116</v>
      </c>
      <c r="M19">
        <v>563</v>
      </c>
      <c r="N19">
        <v>48679</v>
      </c>
      <c r="O19" t="s">
        <v>277</v>
      </c>
      <c r="P19" t="s">
        <v>248</v>
      </c>
      <c r="Q19">
        <v>41505</v>
      </c>
      <c r="R19">
        <f>N19-Q19</f>
        <v>7174</v>
      </c>
      <c r="U19">
        <f t="shared" si="0"/>
        <v>100</v>
      </c>
      <c r="V19">
        <f t="shared" si="1"/>
        <v>100</v>
      </c>
      <c r="W19">
        <f t="shared" si="2"/>
        <v>100023</v>
      </c>
      <c r="X19">
        <f t="shared" si="3"/>
        <v>32341</v>
      </c>
      <c r="Y19">
        <f t="shared" si="4"/>
        <v>13335936</v>
      </c>
    </row>
    <row r="20" spans="1:25" x14ac:dyDescent="0.25">
      <c r="A20" s="5">
        <v>19</v>
      </c>
      <c r="B20" s="1" t="s">
        <v>45</v>
      </c>
      <c r="C20" s="1" t="s">
        <v>46</v>
      </c>
      <c r="D20" t="s">
        <v>261</v>
      </c>
      <c r="E20" t="s">
        <v>251</v>
      </c>
      <c r="F20" s="2" t="s">
        <v>243</v>
      </c>
      <c r="G20">
        <v>34</v>
      </c>
      <c r="H20" s="3" t="s">
        <v>246</v>
      </c>
      <c r="I20" t="s">
        <v>263</v>
      </c>
      <c r="J20">
        <v>189736</v>
      </c>
      <c r="K20" s="7">
        <v>127545</v>
      </c>
      <c r="L20">
        <v>55174</v>
      </c>
      <c r="M20">
        <v>396</v>
      </c>
      <c r="N20">
        <v>55570</v>
      </c>
      <c r="O20" t="s">
        <v>278</v>
      </c>
      <c r="P20" t="s">
        <v>245</v>
      </c>
      <c r="Q20">
        <v>27098</v>
      </c>
      <c r="R20">
        <f>N20-Q20</f>
        <v>28472</v>
      </c>
      <c r="U20">
        <f t="shared" si="0"/>
        <v>99</v>
      </c>
      <c r="V20">
        <f t="shared" si="1"/>
        <v>99</v>
      </c>
      <c r="W20">
        <f t="shared" si="2"/>
        <v>100023</v>
      </c>
      <c r="X20">
        <f t="shared" si="3"/>
        <v>32341</v>
      </c>
      <c r="Y20">
        <f t="shared" si="4"/>
        <v>13202753</v>
      </c>
    </row>
    <row r="21" spans="1:25" x14ac:dyDescent="0.25">
      <c r="A21" s="5">
        <v>20</v>
      </c>
      <c r="B21" s="1" t="s">
        <v>47</v>
      </c>
      <c r="C21" s="1" t="s">
        <v>48</v>
      </c>
      <c r="D21" t="s">
        <v>261</v>
      </c>
      <c r="E21" t="s">
        <v>251</v>
      </c>
      <c r="F21" s="2" t="s">
        <v>243</v>
      </c>
      <c r="G21">
        <v>37</v>
      </c>
      <c r="H21" s="3" t="s">
        <v>246</v>
      </c>
      <c r="I21" t="s">
        <v>264</v>
      </c>
      <c r="J21">
        <v>181209</v>
      </c>
      <c r="K21" s="7">
        <v>124473</v>
      </c>
      <c r="L21">
        <v>52616</v>
      </c>
      <c r="M21">
        <v>589</v>
      </c>
      <c r="N21">
        <v>53205</v>
      </c>
      <c r="O21" t="s">
        <v>279</v>
      </c>
      <c r="P21" t="s">
        <v>248</v>
      </c>
      <c r="Q21">
        <v>36242</v>
      </c>
      <c r="R21">
        <f>N21-Q21</f>
        <v>16963</v>
      </c>
      <c r="U21">
        <f t="shared" si="0"/>
        <v>98</v>
      </c>
      <c r="V21">
        <f t="shared" si="1"/>
        <v>98</v>
      </c>
      <c r="W21">
        <f t="shared" si="2"/>
        <v>100023</v>
      </c>
      <c r="X21">
        <f t="shared" si="3"/>
        <v>32341</v>
      </c>
      <c r="Y21">
        <f t="shared" si="4"/>
        <v>13075208</v>
      </c>
    </row>
    <row r="22" spans="1:25" x14ac:dyDescent="0.25">
      <c r="A22" s="5">
        <v>21</v>
      </c>
      <c r="B22" s="1" t="s">
        <v>49</v>
      </c>
      <c r="C22" s="1" t="s">
        <v>50</v>
      </c>
      <c r="D22" t="s">
        <v>261</v>
      </c>
      <c r="E22" t="s">
        <v>252</v>
      </c>
      <c r="F22" s="2" t="s">
        <v>243</v>
      </c>
      <c r="G22">
        <v>78</v>
      </c>
      <c r="H22" s="3" t="s">
        <v>245</v>
      </c>
      <c r="I22" t="s">
        <v>263</v>
      </c>
      <c r="J22">
        <v>177849</v>
      </c>
      <c r="K22" s="7">
        <v>128822</v>
      </c>
      <c r="L22">
        <v>46148</v>
      </c>
      <c r="M22">
        <v>163</v>
      </c>
      <c r="N22">
        <v>46311</v>
      </c>
      <c r="O22" t="s">
        <v>280</v>
      </c>
      <c r="P22" t="s">
        <v>248</v>
      </c>
      <c r="Q22">
        <v>40766</v>
      </c>
      <c r="R22">
        <f>N22-Q22</f>
        <v>5545</v>
      </c>
      <c r="U22">
        <f t="shared" si="0"/>
        <v>97</v>
      </c>
      <c r="V22">
        <f t="shared" si="1"/>
        <v>97</v>
      </c>
      <c r="W22">
        <f t="shared" si="2"/>
        <v>100023</v>
      </c>
      <c r="X22">
        <f t="shared" si="3"/>
        <v>32341</v>
      </c>
      <c r="Y22">
        <f t="shared" si="4"/>
        <v>12950735</v>
      </c>
    </row>
    <row r="23" spans="1:25" x14ac:dyDescent="0.25">
      <c r="A23" s="5">
        <v>22</v>
      </c>
      <c r="B23" s="1" t="s">
        <v>51</v>
      </c>
      <c r="C23" s="1" t="s">
        <v>52</v>
      </c>
      <c r="D23" t="s">
        <v>261</v>
      </c>
      <c r="E23" t="s">
        <v>252</v>
      </c>
      <c r="F23" s="2" t="s">
        <v>243</v>
      </c>
      <c r="G23">
        <v>62</v>
      </c>
      <c r="H23" s="3" t="s">
        <v>245</v>
      </c>
      <c r="I23" t="s">
        <v>263</v>
      </c>
      <c r="J23">
        <v>197081</v>
      </c>
      <c r="K23" s="7">
        <v>144359</v>
      </c>
      <c r="L23">
        <v>52361</v>
      </c>
      <c r="M23">
        <v>194</v>
      </c>
      <c r="N23">
        <v>52555</v>
      </c>
      <c r="O23" t="s">
        <v>281</v>
      </c>
      <c r="P23" t="s">
        <v>248</v>
      </c>
      <c r="Q23">
        <v>52089</v>
      </c>
      <c r="R23">
        <f>N23-Q23</f>
        <v>466</v>
      </c>
      <c r="U23">
        <f t="shared" si="0"/>
        <v>96</v>
      </c>
      <c r="V23">
        <f t="shared" si="1"/>
        <v>96</v>
      </c>
      <c r="W23">
        <f t="shared" si="2"/>
        <v>100023</v>
      </c>
      <c r="X23">
        <f t="shared" si="3"/>
        <v>32341</v>
      </c>
      <c r="Y23">
        <f t="shared" si="4"/>
        <v>12821913</v>
      </c>
    </row>
    <row r="24" spans="1:25" x14ac:dyDescent="0.25">
      <c r="A24" s="5">
        <v>23</v>
      </c>
      <c r="B24" s="1" t="s">
        <v>53</v>
      </c>
      <c r="C24" s="1" t="s">
        <v>54</v>
      </c>
      <c r="D24" t="s">
        <v>261</v>
      </c>
      <c r="E24" t="s">
        <v>252</v>
      </c>
      <c r="F24" s="2" t="s">
        <v>243</v>
      </c>
      <c r="G24">
        <v>60</v>
      </c>
      <c r="H24" s="3" t="s">
        <v>246</v>
      </c>
      <c r="I24" t="s">
        <v>263</v>
      </c>
      <c r="J24">
        <v>158691</v>
      </c>
      <c r="K24" s="7">
        <v>122038</v>
      </c>
      <c r="L24">
        <v>43257</v>
      </c>
      <c r="M24">
        <v>298</v>
      </c>
      <c r="N24">
        <v>43555</v>
      </c>
      <c r="O24" t="s">
        <v>282</v>
      </c>
      <c r="P24" t="s">
        <v>248</v>
      </c>
      <c r="Q24">
        <v>35712</v>
      </c>
      <c r="R24">
        <f>N24-Q24</f>
        <v>7843</v>
      </c>
      <c r="U24">
        <f t="shared" si="0"/>
        <v>95</v>
      </c>
      <c r="V24">
        <f t="shared" si="1"/>
        <v>95</v>
      </c>
      <c r="W24">
        <f t="shared" si="2"/>
        <v>100023</v>
      </c>
      <c r="X24">
        <f t="shared" si="3"/>
        <v>32341</v>
      </c>
      <c r="Y24">
        <f t="shared" si="4"/>
        <v>12677554</v>
      </c>
    </row>
    <row r="25" spans="1:25" x14ac:dyDescent="0.25">
      <c r="A25" s="5">
        <v>24</v>
      </c>
      <c r="B25" s="1" t="s">
        <v>55</v>
      </c>
      <c r="C25" s="1" t="s">
        <v>56</v>
      </c>
      <c r="D25" t="s">
        <v>261</v>
      </c>
      <c r="E25" t="s">
        <v>252</v>
      </c>
      <c r="F25" s="2" t="s">
        <v>243</v>
      </c>
      <c r="G25">
        <v>66</v>
      </c>
      <c r="H25" s="3" t="s">
        <v>245</v>
      </c>
      <c r="I25" t="s">
        <v>263</v>
      </c>
      <c r="J25">
        <v>178829</v>
      </c>
      <c r="K25" s="7">
        <v>133615</v>
      </c>
      <c r="L25">
        <v>46802</v>
      </c>
      <c r="M25">
        <v>70</v>
      </c>
      <c r="N25">
        <v>46872</v>
      </c>
      <c r="O25" t="s">
        <v>283</v>
      </c>
      <c r="P25" t="s">
        <v>248</v>
      </c>
      <c r="Q25">
        <v>41398</v>
      </c>
      <c r="R25">
        <f>N25-Q25</f>
        <v>5474</v>
      </c>
      <c r="U25">
        <f t="shared" si="0"/>
        <v>94</v>
      </c>
      <c r="V25">
        <f t="shared" si="1"/>
        <v>94</v>
      </c>
      <c r="W25">
        <f t="shared" si="2"/>
        <v>100023</v>
      </c>
      <c r="X25">
        <f t="shared" si="3"/>
        <v>32341</v>
      </c>
      <c r="Y25">
        <f t="shared" si="4"/>
        <v>12555516</v>
      </c>
    </row>
    <row r="26" spans="1:25" x14ac:dyDescent="0.25">
      <c r="A26" s="5">
        <v>25</v>
      </c>
      <c r="B26" s="1" t="s">
        <v>57</v>
      </c>
      <c r="C26" s="1" t="s">
        <v>58</v>
      </c>
      <c r="D26" t="s">
        <v>261</v>
      </c>
      <c r="E26" t="s">
        <v>251</v>
      </c>
      <c r="F26" s="2" t="s">
        <v>243</v>
      </c>
      <c r="G26">
        <v>53</v>
      </c>
      <c r="H26" s="3" t="s">
        <v>246</v>
      </c>
      <c r="I26" t="s">
        <v>264</v>
      </c>
      <c r="J26">
        <v>182255</v>
      </c>
      <c r="K26" s="7">
        <v>128681</v>
      </c>
      <c r="L26">
        <v>59301</v>
      </c>
      <c r="M26">
        <v>423</v>
      </c>
      <c r="N26">
        <v>59724</v>
      </c>
      <c r="O26" t="s">
        <v>285</v>
      </c>
      <c r="P26" t="s">
        <v>245</v>
      </c>
      <c r="Q26">
        <v>34341</v>
      </c>
      <c r="R26">
        <f>N26-Q26</f>
        <v>25383</v>
      </c>
      <c r="U26">
        <f t="shared" si="0"/>
        <v>93</v>
      </c>
      <c r="V26">
        <f t="shared" si="1"/>
        <v>93</v>
      </c>
      <c r="W26">
        <f t="shared" si="2"/>
        <v>100023</v>
      </c>
      <c r="X26">
        <f t="shared" si="3"/>
        <v>32341</v>
      </c>
      <c r="Y26">
        <f t="shared" si="4"/>
        <v>12421901</v>
      </c>
    </row>
    <row r="27" spans="1:25" x14ac:dyDescent="0.25">
      <c r="A27" s="5">
        <v>26</v>
      </c>
      <c r="B27" s="1" t="s">
        <v>59</v>
      </c>
      <c r="C27" s="1" t="s">
        <v>60</v>
      </c>
      <c r="D27" t="s">
        <v>262</v>
      </c>
      <c r="E27" t="s">
        <v>61</v>
      </c>
      <c r="F27" s="2" t="s">
        <v>243</v>
      </c>
      <c r="G27">
        <v>52</v>
      </c>
      <c r="H27" s="3" t="s">
        <v>246</v>
      </c>
      <c r="I27" t="s">
        <v>263</v>
      </c>
      <c r="J27">
        <v>202365</v>
      </c>
      <c r="K27" s="7">
        <v>123752</v>
      </c>
      <c r="L27">
        <v>57830</v>
      </c>
      <c r="M27">
        <v>303</v>
      </c>
      <c r="N27">
        <v>58133</v>
      </c>
      <c r="O27" t="s">
        <v>286</v>
      </c>
      <c r="P27" t="s">
        <v>248</v>
      </c>
      <c r="Q27">
        <v>29815</v>
      </c>
      <c r="R27">
        <f>N27-Q27</f>
        <v>28318</v>
      </c>
      <c r="U27">
        <f t="shared" si="0"/>
        <v>92</v>
      </c>
      <c r="V27">
        <f t="shared" si="1"/>
        <v>92</v>
      </c>
      <c r="W27">
        <f t="shared" si="2"/>
        <v>100023</v>
      </c>
      <c r="X27">
        <f t="shared" si="3"/>
        <v>32341</v>
      </c>
      <c r="Y27">
        <f t="shared" si="4"/>
        <v>12293220</v>
      </c>
    </row>
    <row r="28" spans="1:25" x14ac:dyDescent="0.25">
      <c r="A28" s="5">
        <v>27</v>
      </c>
      <c r="B28" s="1" t="s">
        <v>61</v>
      </c>
      <c r="C28" s="1" t="s">
        <v>62</v>
      </c>
      <c r="D28" t="s">
        <v>262</v>
      </c>
      <c r="E28" t="s">
        <v>61</v>
      </c>
      <c r="F28" s="2" t="s">
        <v>243</v>
      </c>
      <c r="G28">
        <v>44</v>
      </c>
      <c r="H28" s="3" t="s">
        <v>246</v>
      </c>
      <c r="I28" t="s">
        <v>264</v>
      </c>
      <c r="J28">
        <v>214566</v>
      </c>
      <c r="K28" s="7">
        <v>118606</v>
      </c>
      <c r="L28">
        <v>68848</v>
      </c>
      <c r="M28">
        <v>403</v>
      </c>
      <c r="N28">
        <v>69251</v>
      </c>
      <c r="O28" t="s">
        <v>287</v>
      </c>
      <c r="P28" t="s">
        <v>245</v>
      </c>
      <c r="Q28">
        <v>25338</v>
      </c>
      <c r="R28">
        <f>N28-Q28</f>
        <v>43913</v>
      </c>
      <c r="U28">
        <f t="shared" si="0"/>
        <v>91</v>
      </c>
      <c r="V28">
        <f t="shared" si="1"/>
        <v>91</v>
      </c>
      <c r="W28">
        <f t="shared" si="2"/>
        <v>100023</v>
      </c>
      <c r="X28">
        <f t="shared" si="3"/>
        <v>32341</v>
      </c>
      <c r="Y28">
        <f t="shared" si="4"/>
        <v>12169468</v>
      </c>
    </row>
    <row r="29" spans="1:25" x14ac:dyDescent="0.25">
      <c r="A29" s="5">
        <v>28</v>
      </c>
      <c r="B29" s="1" t="s">
        <v>63</v>
      </c>
      <c r="C29" s="1" t="s">
        <v>64</v>
      </c>
      <c r="D29" t="s">
        <v>262</v>
      </c>
      <c r="E29" t="s">
        <v>61</v>
      </c>
      <c r="F29" s="2" t="s">
        <v>243</v>
      </c>
      <c r="G29">
        <v>61</v>
      </c>
      <c r="H29" s="3" t="s">
        <v>246</v>
      </c>
      <c r="I29" t="s">
        <v>263</v>
      </c>
      <c r="J29">
        <v>147190</v>
      </c>
      <c r="K29" s="7">
        <v>87205</v>
      </c>
      <c r="L29">
        <v>40748</v>
      </c>
      <c r="M29">
        <v>89</v>
      </c>
      <c r="N29">
        <v>40837</v>
      </c>
      <c r="O29" t="s">
        <v>288</v>
      </c>
      <c r="P29" t="s">
        <v>245</v>
      </c>
      <c r="Q29">
        <v>26811</v>
      </c>
      <c r="R29">
        <f>N29-Q29</f>
        <v>14026</v>
      </c>
      <c r="U29">
        <f t="shared" si="0"/>
        <v>90</v>
      </c>
      <c r="V29">
        <f t="shared" si="1"/>
        <v>90</v>
      </c>
      <c r="W29">
        <f t="shared" si="2"/>
        <v>100023</v>
      </c>
      <c r="X29">
        <f t="shared" si="3"/>
        <v>32341</v>
      </c>
      <c r="Y29">
        <f t="shared" si="4"/>
        <v>12050862</v>
      </c>
    </row>
    <row r="30" spans="1:25" x14ac:dyDescent="0.25">
      <c r="A30" s="5">
        <v>29</v>
      </c>
      <c r="B30" s="1" t="s">
        <v>65</v>
      </c>
      <c r="C30" s="1" t="s">
        <v>66</v>
      </c>
      <c r="D30" t="s">
        <v>262</v>
      </c>
      <c r="E30" t="s">
        <v>61</v>
      </c>
      <c r="F30" s="2" t="s">
        <v>243</v>
      </c>
      <c r="G30">
        <v>66</v>
      </c>
      <c r="H30" s="3" t="s">
        <v>246</v>
      </c>
      <c r="I30" t="s">
        <v>263</v>
      </c>
      <c r="J30">
        <v>177731</v>
      </c>
      <c r="K30" s="7">
        <v>105885</v>
      </c>
      <c r="L30">
        <v>52907</v>
      </c>
      <c r="M30">
        <v>146</v>
      </c>
      <c r="N30">
        <v>53053</v>
      </c>
      <c r="O30" t="s">
        <v>290</v>
      </c>
      <c r="P30" t="s">
        <v>248</v>
      </c>
      <c r="Q30">
        <v>25550</v>
      </c>
      <c r="R30">
        <f>N30-Q30</f>
        <v>27503</v>
      </c>
      <c r="U30">
        <f t="shared" si="0"/>
        <v>89</v>
      </c>
      <c r="V30">
        <f t="shared" si="1"/>
        <v>89</v>
      </c>
      <c r="W30">
        <f t="shared" si="2"/>
        <v>100023</v>
      </c>
      <c r="X30">
        <f t="shared" si="3"/>
        <v>32341</v>
      </c>
      <c r="Y30">
        <f t="shared" si="4"/>
        <v>11963657</v>
      </c>
    </row>
    <row r="31" spans="1:25" x14ac:dyDescent="0.25">
      <c r="A31" s="5">
        <v>30</v>
      </c>
      <c r="B31" s="1" t="s">
        <v>67</v>
      </c>
      <c r="C31" s="1" t="s">
        <v>68</v>
      </c>
      <c r="D31" t="s">
        <v>262</v>
      </c>
      <c r="E31" t="s">
        <v>253</v>
      </c>
      <c r="F31" s="2" t="s">
        <v>243</v>
      </c>
      <c r="G31">
        <v>69</v>
      </c>
      <c r="H31" s="3" t="s">
        <v>246</v>
      </c>
      <c r="I31" t="s">
        <v>264</v>
      </c>
      <c r="J31">
        <v>190537</v>
      </c>
      <c r="K31" s="7">
        <v>128145</v>
      </c>
      <c r="L31">
        <v>56515</v>
      </c>
      <c r="M31">
        <v>283</v>
      </c>
      <c r="N31">
        <v>56798</v>
      </c>
      <c r="O31" t="s">
        <v>291</v>
      </c>
      <c r="P31" t="s">
        <v>248</v>
      </c>
      <c r="Q31">
        <v>37004</v>
      </c>
      <c r="R31">
        <f>N31-Q31</f>
        <v>19794</v>
      </c>
      <c r="U31">
        <f t="shared" si="0"/>
        <v>88</v>
      </c>
      <c r="V31">
        <f t="shared" si="1"/>
        <v>88</v>
      </c>
      <c r="W31">
        <f t="shared" si="2"/>
        <v>100023</v>
      </c>
      <c r="X31">
        <f t="shared" si="3"/>
        <v>32341</v>
      </c>
      <c r="Y31">
        <f t="shared" si="4"/>
        <v>11857772</v>
      </c>
    </row>
    <row r="32" spans="1:25" x14ac:dyDescent="0.25">
      <c r="A32" s="5">
        <v>31</v>
      </c>
      <c r="B32" s="1" t="s">
        <v>69</v>
      </c>
      <c r="C32" s="1" t="s">
        <v>70</v>
      </c>
      <c r="D32" t="s">
        <v>262</v>
      </c>
      <c r="E32" t="s">
        <v>253</v>
      </c>
      <c r="F32" s="2" t="s">
        <v>243</v>
      </c>
      <c r="G32">
        <v>62</v>
      </c>
      <c r="H32" s="3" t="s">
        <v>246</v>
      </c>
      <c r="I32" t="s">
        <v>263</v>
      </c>
      <c r="J32">
        <v>198446</v>
      </c>
      <c r="K32" s="7">
        <v>130874</v>
      </c>
      <c r="L32">
        <v>52469</v>
      </c>
      <c r="M32">
        <v>466</v>
      </c>
      <c r="N32">
        <v>52935</v>
      </c>
      <c r="O32" t="s">
        <v>292</v>
      </c>
      <c r="P32" t="s">
        <v>248</v>
      </c>
      <c r="Q32">
        <v>39347</v>
      </c>
      <c r="R32">
        <f>N32-Q32</f>
        <v>13588</v>
      </c>
      <c r="U32">
        <f t="shared" si="0"/>
        <v>87</v>
      </c>
      <c r="V32">
        <f t="shared" si="1"/>
        <v>87</v>
      </c>
      <c r="W32">
        <f t="shared" si="2"/>
        <v>100023</v>
      </c>
      <c r="X32">
        <f t="shared" si="3"/>
        <v>32341</v>
      </c>
      <c r="Y32">
        <f t="shared" si="4"/>
        <v>11729627</v>
      </c>
    </row>
    <row r="33" spans="1:25" x14ac:dyDescent="0.25">
      <c r="A33" s="5">
        <v>32</v>
      </c>
      <c r="B33" s="1" t="s">
        <v>71</v>
      </c>
      <c r="C33" s="1" t="s">
        <v>72</v>
      </c>
      <c r="D33" t="s">
        <v>262</v>
      </c>
      <c r="E33" t="s">
        <v>253</v>
      </c>
      <c r="F33" s="2" t="s">
        <v>243</v>
      </c>
      <c r="G33">
        <v>46</v>
      </c>
      <c r="H33" s="3" t="s">
        <v>246</v>
      </c>
      <c r="I33" t="s">
        <v>263</v>
      </c>
      <c r="J33">
        <v>218055</v>
      </c>
      <c r="K33" s="7">
        <v>154988</v>
      </c>
      <c r="L33">
        <v>64011</v>
      </c>
      <c r="M33">
        <v>530</v>
      </c>
      <c r="N33">
        <v>64541</v>
      </c>
      <c r="O33" t="s">
        <v>293</v>
      </c>
      <c r="P33" t="s">
        <v>248</v>
      </c>
      <c r="Q33">
        <v>52659</v>
      </c>
      <c r="R33">
        <f>N33-Q33</f>
        <v>11882</v>
      </c>
      <c r="U33">
        <f t="shared" si="0"/>
        <v>86</v>
      </c>
      <c r="V33">
        <f t="shared" si="1"/>
        <v>86</v>
      </c>
      <c r="W33">
        <f t="shared" si="2"/>
        <v>100023</v>
      </c>
      <c r="X33">
        <f t="shared" si="3"/>
        <v>32341</v>
      </c>
      <c r="Y33">
        <f t="shared" si="4"/>
        <v>11598753</v>
      </c>
    </row>
    <row r="34" spans="1:25" x14ac:dyDescent="0.25">
      <c r="A34" s="5">
        <v>33</v>
      </c>
      <c r="B34" s="1" t="s">
        <v>73</v>
      </c>
      <c r="C34" s="1" t="s">
        <v>74</v>
      </c>
      <c r="D34" t="s">
        <v>262</v>
      </c>
      <c r="E34" t="s">
        <v>253</v>
      </c>
      <c r="F34" s="2" t="s">
        <v>243</v>
      </c>
      <c r="G34">
        <v>40</v>
      </c>
      <c r="H34" s="3" t="s">
        <v>246</v>
      </c>
      <c r="I34" t="s">
        <v>263</v>
      </c>
      <c r="J34">
        <v>204405</v>
      </c>
      <c r="K34" s="7">
        <v>144922</v>
      </c>
      <c r="L34">
        <v>56797</v>
      </c>
      <c r="M34">
        <v>526</v>
      </c>
      <c r="N34">
        <v>57323</v>
      </c>
      <c r="O34" t="s">
        <v>294</v>
      </c>
      <c r="P34" t="s">
        <v>248</v>
      </c>
      <c r="Q34">
        <v>46324</v>
      </c>
      <c r="R34">
        <f>N34-Q34</f>
        <v>10999</v>
      </c>
      <c r="U34">
        <f t="shared" si="0"/>
        <v>85</v>
      </c>
      <c r="V34">
        <f t="shared" si="1"/>
        <v>85</v>
      </c>
      <c r="W34">
        <f t="shared" si="2"/>
        <v>100023</v>
      </c>
      <c r="X34">
        <f t="shared" si="3"/>
        <v>32341</v>
      </c>
      <c r="Y34">
        <f t="shared" si="4"/>
        <v>11443765</v>
      </c>
    </row>
    <row r="35" spans="1:25" x14ac:dyDescent="0.25">
      <c r="A35" s="5">
        <v>34</v>
      </c>
      <c r="B35" s="1" t="s">
        <v>75</v>
      </c>
      <c r="C35" s="1" t="s">
        <v>76</v>
      </c>
      <c r="D35" t="s">
        <v>262</v>
      </c>
      <c r="E35" t="s">
        <v>253</v>
      </c>
      <c r="F35" s="2" t="s">
        <v>243</v>
      </c>
      <c r="G35">
        <v>37</v>
      </c>
      <c r="H35" s="3" t="s">
        <v>246</v>
      </c>
      <c r="I35" t="s">
        <v>263</v>
      </c>
      <c r="J35">
        <v>203539</v>
      </c>
      <c r="K35" s="7">
        <v>145256</v>
      </c>
      <c r="L35">
        <v>55286</v>
      </c>
      <c r="M35">
        <v>470</v>
      </c>
      <c r="N35">
        <v>55756</v>
      </c>
      <c r="O35" t="s">
        <v>295</v>
      </c>
      <c r="P35" t="s">
        <v>245</v>
      </c>
      <c r="Q35">
        <v>39265</v>
      </c>
      <c r="R35">
        <f>N35-Q35</f>
        <v>16491</v>
      </c>
      <c r="U35">
        <f t="shared" si="0"/>
        <v>84</v>
      </c>
      <c r="V35">
        <f t="shared" si="1"/>
        <v>84</v>
      </c>
      <c r="W35">
        <f t="shared" si="2"/>
        <v>100023</v>
      </c>
      <c r="X35">
        <f t="shared" si="3"/>
        <v>32341</v>
      </c>
      <c r="Y35">
        <f t="shared" si="4"/>
        <v>11298843</v>
      </c>
    </row>
    <row r="36" spans="1:25" x14ac:dyDescent="0.25">
      <c r="A36" s="5">
        <v>35</v>
      </c>
      <c r="B36" s="1" t="s">
        <v>77</v>
      </c>
      <c r="C36" s="1" t="s">
        <v>78</v>
      </c>
      <c r="D36" t="s">
        <v>262</v>
      </c>
      <c r="E36" t="s">
        <v>253</v>
      </c>
      <c r="F36" s="2" t="s">
        <v>243</v>
      </c>
      <c r="G36">
        <v>38</v>
      </c>
      <c r="H36" s="3" t="s">
        <v>246</v>
      </c>
      <c r="I36" t="s">
        <v>264</v>
      </c>
      <c r="J36">
        <v>201831</v>
      </c>
      <c r="K36" s="7">
        <v>131237</v>
      </c>
      <c r="L36">
        <v>52041</v>
      </c>
      <c r="M36">
        <v>427</v>
      </c>
      <c r="N36">
        <v>52468</v>
      </c>
      <c r="O36" t="s">
        <v>296</v>
      </c>
      <c r="P36" t="s">
        <v>245</v>
      </c>
      <c r="Q36">
        <v>32916</v>
      </c>
      <c r="R36">
        <f>N36-Q36</f>
        <v>19552</v>
      </c>
      <c r="U36">
        <f t="shared" si="0"/>
        <v>83</v>
      </c>
      <c r="V36">
        <f t="shared" si="1"/>
        <v>83</v>
      </c>
      <c r="W36">
        <f t="shared" si="2"/>
        <v>100023</v>
      </c>
      <c r="X36">
        <f t="shared" si="3"/>
        <v>32341</v>
      </c>
      <c r="Y36">
        <f t="shared" si="4"/>
        <v>11153587</v>
      </c>
    </row>
    <row r="37" spans="1:25" x14ac:dyDescent="0.25">
      <c r="A37" s="5">
        <v>36</v>
      </c>
      <c r="B37" s="1" t="s">
        <v>79</v>
      </c>
      <c r="C37" s="1" t="s">
        <v>80</v>
      </c>
      <c r="D37" t="s">
        <v>262</v>
      </c>
      <c r="E37" t="s">
        <v>253</v>
      </c>
      <c r="F37" s="2" t="s">
        <v>243</v>
      </c>
      <c r="G37">
        <v>56</v>
      </c>
      <c r="H37" s="3" t="s">
        <v>245</v>
      </c>
      <c r="I37" t="s">
        <v>263</v>
      </c>
      <c r="J37">
        <v>136892</v>
      </c>
      <c r="K37" s="7">
        <v>90537</v>
      </c>
      <c r="L37">
        <v>37089</v>
      </c>
      <c r="M37">
        <v>165</v>
      </c>
      <c r="N37">
        <v>37254</v>
      </c>
      <c r="O37" t="s">
        <v>297</v>
      </c>
      <c r="P37" t="s">
        <v>248</v>
      </c>
      <c r="Q37">
        <v>28029</v>
      </c>
      <c r="R37">
        <f>N37-Q37</f>
        <v>9225</v>
      </c>
      <c r="U37">
        <f t="shared" si="0"/>
        <v>82</v>
      </c>
      <c r="V37">
        <f t="shared" si="1"/>
        <v>82</v>
      </c>
      <c r="W37">
        <f t="shared" si="2"/>
        <v>100023</v>
      </c>
      <c r="X37">
        <f t="shared" si="3"/>
        <v>32341</v>
      </c>
      <c r="Y37">
        <f t="shared" si="4"/>
        <v>11022350</v>
      </c>
    </row>
    <row r="38" spans="1:25" x14ac:dyDescent="0.25">
      <c r="A38" s="5">
        <v>37</v>
      </c>
      <c r="B38" s="1" t="s">
        <v>81</v>
      </c>
      <c r="C38" s="1" t="s">
        <v>82</v>
      </c>
      <c r="D38" t="s">
        <v>262</v>
      </c>
      <c r="E38" t="s">
        <v>253</v>
      </c>
      <c r="F38" s="2" t="s">
        <v>243</v>
      </c>
      <c r="G38">
        <v>69</v>
      </c>
      <c r="H38" s="3" t="s">
        <v>245</v>
      </c>
      <c r="I38" t="s">
        <v>263</v>
      </c>
      <c r="J38">
        <v>150129</v>
      </c>
      <c r="K38" s="7">
        <v>102700</v>
      </c>
      <c r="L38">
        <v>43752</v>
      </c>
      <c r="M38">
        <v>344</v>
      </c>
      <c r="N38">
        <v>44096</v>
      </c>
      <c r="O38" t="s">
        <v>298</v>
      </c>
      <c r="P38" t="s">
        <v>246</v>
      </c>
      <c r="Q38">
        <v>36792</v>
      </c>
      <c r="R38">
        <f>N38-Q38</f>
        <v>7304</v>
      </c>
      <c r="U38">
        <f t="shared" si="0"/>
        <v>81</v>
      </c>
      <c r="V38">
        <f t="shared" si="1"/>
        <v>81</v>
      </c>
      <c r="W38">
        <f t="shared" si="2"/>
        <v>100023</v>
      </c>
      <c r="X38">
        <f t="shared" si="3"/>
        <v>32341</v>
      </c>
      <c r="Y38">
        <f t="shared" si="4"/>
        <v>10931813</v>
      </c>
    </row>
    <row r="39" spans="1:25" x14ac:dyDescent="0.25">
      <c r="A39" s="5">
        <v>38</v>
      </c>
      <c r="B39" s="1" t="s">
        <v>83</v>
      </c>
      <c r="C39" s="1" t="s">
        <v>84</v>
      </c>
      <c r="D39" t="s">
        <v>262</v>
      </c>
      <c r="E39" t="s">
        <v>253</v>
      </c>
      <c r="F39" s="2" t="s">
        <v>243</v>
      </c>
      <c r="G39">
        <v>42</v>
      </c>
      <c r="H39" s="3" t="s">
        <v>249</v>
      </c>
      <c r="I39" t="s">
        <v>263</v>
      </c>
      <c r="J39">
        <v>148501</v>
      </c>
      <c r="K39" s="7">
        <v>108106</v>
      </c>
      <c r="L39">
        <v>41125</v>
      </c>
      <c r="M39">
        <v>212</v>
      </c>
      <c r="N39">
        <v>41337</v>
      </c>
      <c r="O39" t="s">
        <v>299</v>
      </c>
      <c r="P39" t="s">
        <v>246</v>
      </c>
      <c r="Q39">
        <v>29903</v>
      </c>
      <c r="R39">
        <f>N39-Q39</f>
        <v>11434</v>
      </c>
      <c r="U39">
        <f t="shared" si="0"/>
        <v>80</v>
      </c>
      <c r="V39">
        <f t="shared" si="1"/>
        <v>80</v>
      </c>
      <c r="W39">
        <f t="shared" si="2"/>
        <v>100023</v>
      </c>
      <c r="X39">
        <f t="shared" si="3"/>
        <v>32341</v>
      </c>
      <c r="Y39">
        <f t="shared" si="4"/>
        <v>10829113</v>
      </c>
    </row>
    <row r="40" spans="1:25" x14ac:dyDescent="0.25">
      <c r="A40" s="5">
        <v>39</v>
      </c>
      <c r="B40" s="1" t="s">
        <v>85</v>
      </c>
      <c r="C40" s="1" t="s">
        <v>86</v>
      </c>
      <c r="D40" t="s">
        <v>262</v>
      </c>
      <c r="E40" t="s">
        <v>93</v>
      </c>
      <c r="F40" s="2" t="s">
        <v>243</v>
      </c>
      <c r="G40">
        <v>60</v>
      </c>
      <c r="H40" s="3" t="s">
        <v>245</v>
      </c>
      <c r="I40" t="s">
        <v>264</v>
      </c>
      <c r="J40">
        <v>193076</v>
      </c>
      <c r="K40" s="7">
        <v>127964</v>
      </c>
      <c r="L40">
        <v>37102</v>
      </c>
      <c r="M40">
        <v>115</v>
      </c>
      <c r="N40">
        <v>37217</v>
      </c>
      <c r="O40" t="s">
        <v>300</v>
      </c>
      <c r="P40" t="s">
        <v>246</v>
      </c>
      <c r="Q40">
        <v>34505</v>
      </c>
      <c r="R40">
        <f>N40-Q40</f>
        <v>2712</v>
      </c>
      <c r="U40">
        <f t="shared" si="0"/>
        <v>79</v>
      </c>
      <c r="V40">
        <f t="shared" si="1"/>
        <v>79</v>
      </c>
      <c r="W40">
        <f t="shared" si="2"/>
        <v>100023</v>
      </c>
      <c r="X40">
        <f t="shared" si="3"/>
        <v>32341</v>
      </c>
      <c r="Y40">
        <f t="shared" si="4"/>
        <v>10721007</v>
      </c>
    </row>
    <row r="41" spans="1:25" x14ac:dyDescent="0.25">
      <c r="A41" s="5">
        <v>40</v>
      </c>
      <c r="B41" s="1" t="s">
        <v>87</v>
      </c>
      <c r="C41" s="1" t="s">
        <v>88</v>
      </c>
      <c r="D41" t="s">
        <v>262</v>
      </c>
      <c r="E41" t="s">
        <v>93</v>
      </c>
      <c r="F41" s="2" t="s">
        <v>243</v>
      </c>
      <c r="G41">
        <v>44</v>
      </c>
      <c r="H41" s="3" t="s">
        <v>245</v>
      </c>
      <c r="I41" t="s">
        <v>264</v>
      </c>
      <c r="J41">
        <v>207226</v>
      </c>
      <c r="K41" s="7">
        <v>139886</v>
      </c>
      <c r="L41">
        <v>48154</v>
      </c>
      <c r="M41">
        <v>134</v>
      </c>
      <c r="N41">
        <v>48288</v>
      </c>
      <c r="O41" t="s">
        <v>301</v>
      </c>
      <c r="P41" t="s">
        <v>248</v>
      </c>
      <c r="Q41">
        <v>35985</v>
      </c>
      <c r="R41">
        <f>N41-Q41</f>
        <v>12303</v>
      </c>
      <c r="U41">
        <f t="shared" si="0"/>
        <v>78</v>
      </c>
      <c r="V41">
        <f t="shared" si="1"/>
        <v>78</v>
      </c>
      <c r="W41">
        <f t="shared" si="2"/>
        <v>100023</v>
      </c>
      <c r="X41">
        <f t="shared" si="3"/>
        <v>32341</v>
      </c>
      <c r="Y41">
        <f t="shared" si="4"/>
        <v>10593043</v>
      </c>
    </row>
    <row r="42" spans="1:25" x14ac:dyDescent="0.25">
      <c r="A42" s="5">
        <v>41</v>
      </c>
      <c r="B42" s="1" t="s">
        <v>89</v>
      </c>
      <c r="C42" s="1" t="s">
        <v>90</v>
      </c>
      <c r="D42" t="s">
        <v>262</v>
      </c>
      <c r="E42" t="s">
        <v>93</v>
      </c>
      <c r="F42" s="2" t="s">
        <v>243</v>
      </c>
      <c r="G42">
        <v>54</v>
      </c>
      <c r="H42" s="3" t="s">
        <v>245</v>
      </c>
      <c r="I42" t="s">
        <v>263</v>
      </c>
      <c r="J42">
        <v>182103</v>
      </c>
      <c r="K42" s="7">
        <v>132510</v>
      </c>
      <c r="L42">
        <v>51537</v>
      </c>
      <c r="M42">
        <v>124</v>
      </c>
      <c r="N42">
        <v>51661</v>
      </c>
      <c r="O42" t="s">
        <v>303</v>
      </c>
      <c r="P42" t="s">
        <v>248</v>
      </c>
      <c r="Q42">
        <v>39582</v>
      </c>
      <c r="R42">
        <f>N42-Q42</f>
        <v>12079</v>
      </c>
      <c r="U42">
        <f t="shared" si="0"/>
        <v>77</v>
      </c>
      <c r="V42">
        <f t="shared" si="1"/>
        <v>77</v>
      </c>
      <c r="W42">
        <f t="shared" si="2"/>
        <v>100023</v>
      </c>
      <c r="X42">
        <f t="shared" si="3"/>
        <v>32341</v>
      </c>
      <c r="Y42">
        <f t="shared" si="4"/>
        <v>10453157</v>
      </c>
    </row>
    <row r="43" spans="1:25" x14ac:dyDescent="0.25">
      <c r="A43" s="5">
        <v>42</v>
      </c>
      <c r="B43" s="1" t="s">
        <v>91</v>
      </c>
      <c r="C43" s="1" t="s">
        <v>92</v>
      </c>
      <c r="D43" t="s">
        <v>262</v>
      </c>
      <c r="E43" t="s">
        <v>93</v>
      </c>
      <c r="F43" s="2" t="s">
        <v>243</v>
      </c>
      <c r="G43">
        <v>59</v>
      </c>
      <c r="H43" s="3" t="s">
        <v>246</v>
      </c>
      <c r="I43" t="s">
        <v>264</v>
      </c>
      <c r="J43">
        <v>184762</v>
      </c>
      <c r="K43" s="7">
        <v>124988</v>
      </c>
      <c r="L43">
        <v>41651</v>
      </c>
      <c r="M43">
        <v>179</v>
      </c>
      <c r="N43">
        <v>41830</v>
      </c>
      <c r="O43" t="s">
        <v>304</v>
      </c>
      <c r="P43" t="s">
        <v>245</v>
      </c>
      <c r="Q43">
        <v>37256</v>
      </c>
      <c r="R43">
        <f>N43-Q43</f>
        <v>4574</v>
      </c>
      <c r="U43">
        <f t="shared" si="0"/>
        <v>76</v>
      </c>
      <c r="V43">
        <f t="shared" si="1"/>
        <v>76</v>
      </c>
      <c r="W43">
        <f t="shared" si="2"/>
        <v>100023</v>
      </c>
      <c r="X43">
        <f t="shared" si="3"/>
        <v>32341</v>
      </c>
      <c r="Y43">
        <f t="shared" si="4"/>
        <v>10320647</v>
      </c>
    </row>
    <row r="44" spans="1:25" x14ac:dyDescent="0.25">
      <c r="A44" s="5">
        <v>43</v>
      </c>
      <c r="B44" s="1" t="s">
        <v>93</v>
      </c>
      <c r="C44" s="1" t="s">
        <v>94</v>
      </c>
      <c r="D44" t="s">
        <v>262</v>
      </c>
      <c r="E44" t="s">
        <v>93</v>
      </c>
      <c r="F44" s="2" t="s">
        <v>243</v>
      </c>
      <c r="G44">
        <v>38</v>
      </c>
      <c r="H44" s="3" t="s">
        <v>246</v>
      </c>
      <c r="I44" t="s">
        <v>264</v>
      </c>
      <c r="J44">
        <v>171691</v>
      </c>
      <c r="K44" s="7">
        <v>116247</v>
      </c>
      <c r="L44">
        <v>39001</v>
      </c>
      <c r="M44">
        <v>212</v>
      </c>
      <c r="N44">
        <v>39213</v>
      </c>
      <c r="O44" t="s">
        <v>305</v>
      </c>
      <c r="P44" t="s">
        <v>245</v>
      </c>
      <c r="Q44">
        <v>34960</v>
      </c>
      <c r="R44">
        <f>N44-Q44</f>
        <v>4253</v>
      </c>
      <c r="U44">
        <f t="shared" si="0"/>
        <v>75</v>
      </c>
      <c r="V44">
        <f t="shared" si="1"/>
        <v>75</v>
      </c>
      <c r="W44">
        <f t="shared" si="2"/>
        <v>100023</v>
      </c>
      <c r="X44">
        <f t="shared" si="3"/>
        <v>32341</v>
      </c>
      <c r="Y44">
        <f t="shared" si="4"/>
        <v>10195659</v>
      </c>
    </row>
    <row r="45" spans="1:25" x14ac:dyDescent="0.25">
      <c r="A45" s="5">
        <v>44</v>
      </c>
      <c r="B45" s="1" t="s">
        <v>95</v>
      </c>
      <c r="C45" s="1" t="s">
        <v>96</v>
      </c>
      <c r="D45" t="s">
        <v>262</v>
      </c>
      <c r="E45" t="s">
        <v>93</v>
      </c>
      <c r="F45" s="2" t="s">
        <v>243</v>
      </c>
      <c r="G45">
        <v>51</v>
      </c>
      <c r="H45" s="3" t="s">
        <v>246</v>
      </c>
      <c r="I45" t="s">
        <v>263</v>
      </c>
      <c r="J45">
        <v>174292</v>
      </c>
      <c r="K45" s="7">
        <v>106554</v>
      </c>
      <c r="L45">
        <v>32642</v>
      </c>
      <c r="M45">
        <v>369</v>
      </c>
      <c r="N45">
        <v>33011</v>
      </c>
      <c r="O45" t="s">
        <v>306</v>
      </c>
      <c r="P45" t="s">
        <v>245</v>
      </c>
      <c r="Q45">
        <v>32764</v>
      </c>
      <c r="R45">
        <f>N45-Q45</f>
        <v>247</v>
      </c>
      <c r="U45">
        <f t="shared" si="0"/>
        <v>74</v>
      </c>
      <c r="V45">
        <f t="shared" si="1"/>
        <v>74</v>
      </c>
      <c r="W45">
        <f t="shared" si="2"/>
        <v>100023</v>
      </c>
      <c r="X45">
        <f t="shared" si="3"/>
        <v>32341</v>
      </c>
      <c r="Y45">
        <f t="shared" si="4"/>
        <v>10079412</v>
      </c>
    </row>
    <row r="46" spans="1:25" x14ac:dyDescent="0.25">
      <c r="A46" s="5">
        <v>45</v>
      </c>
      <c r="B46" s="1" t="s">
        <v>97</v>
      </c>
      <c r="C46" s="1" t="s">
        <v>98</v>
      </c>
      <c r="D46" t="s">
        <v>262</v>
      </c>
      <c r="E46" t="s">
        <v>93</v>
      </c>
      <c r="F46" s="2" t="s">
        <v>243</v>
      </c>
      <c r="G46">
        <v>43</v>
      </c>
      <c r="H46" s="3" t="s">
        <v>245</v>
      </c>
      <c r="I46" t="s">
        <v>263</v>
      </c>
      <c r="J46">
        <v>192161</v>
      </c>
      <c r="K46" s="7">
        <v>128158</v>
      </c>
      <c r="L46">
        <v>47127</v>
      </c>
      <c r="M46">
        <v>211</v>
      </c>
      <c r="N46">
        <v>47338</v>
      </c>
      <c r="O46" t="s">
        <v>307</v>
      </c>
      <c r="P46" t="s">
        <v>247</v>
      </c>
      <c r="Q46">
        <v>37852</v>
      </c>
      <c r="R46">
        <f>N46-Q46</f>
        <v>9486</v>
      </c>
      <c r="U46">
        <f t="shared" si="0"/>
        <v>73</v>
      </c>
      <c r="V46">
        <f t="shared" si="1"/>
        <v>73</v>
      </c>
      <c r="W46">
        <f t="shared" si="2"/>
        <v>100023</v>
      </c>
      <c r="X46">
        <f t="shared" si="3"/>
        <v>32341</v>
      </c>
      <c r="Y46">
        <f t="shared" si="4"/>
        <v>9972858</v>
      </c>
    </row>
    <row r="47" spans="1:25" x14ac:dyDescent="0.25">
      <c r="A47" s="5">
        <v>46</v>
      </c>
      <c r="B47" s="1" t="s">
        <v>99</v>
      </c>
      <c r="C47" s="1" t="s">
        <v>100</v>
      </c>
      <c r="D47" t="s">
        <v>262</v>
      </c>
      <c r="E47" t="s">
        <v>254</v>
      </c>
      <c r="F47" s="2" t="s">
        <v>243</v>
      </c>
      <c r="G47">
        <v>57</v>
      </c>
      <c r="H47" s="3" t="s">
        <v>245</v>
      </c>
      <c r="I47" t="s">
        <v>263</v>
      </c>
      <c r="J47">
        <v>193992</v>
      </c>
      <c r="K47" s="7">
        <v>125090</v>
      </c>
      <c r="L47">
        <v>40507</v>
      </c>
      <c r="M47">
        <v>309</v>
      </c>
      <c r="N47">
        <v>40816</v>
      </c>
      <c r="O47" t="s">
        <v>308</v>
      </c>
      <c r="P47" t="s">
        <v>246</v>
      </c>
      <c r="Q47">
        <v>35008</v>
      </c>
      <c r="R47">
        <f>N47-Q47</f>
        <v>5808</v>
      </c>
      <c r="U47">
        <f t="shared" si="0"/>
        <v>72</v>
      </c>
      <c r="V47">
        <f t="shared" si="1"/>
        <v>72</v>
      </c>
      <c r="W47">
        <f t="shared" si="2"/>
        <v>100023</v>
      </c>
      <c r="X47">
        <f t="shared" si="3"/>
        <v>32341</v>
      </c>
      <c r="Y47">
        <f t="shared" si="4"/>
        <v>9844700</v>
      </c>
    </row>
    <row r="48" spans="1:25" x14ac:dyDescent="0.25">
      <c r="A48" s="5">
        <v>47</v>
      </c>
      <c r="B48" s="1" t="s">
        <v>101</v>
      </c>
      <c r="C48" s="1" t="s">
        <v>102</v>
      </c>
      <c r="D48" t="s">
        <v>262</v>
      </c>
      <c r="E48" t="s">
        <v>254</v>
      </c>
      <c r="F48" s="2" t="s">
        <v>243</v>
      </c>
      <c r="G48">
        <v>57</v>
      </c>
      <c r="H48" s="3" t="s">
        <v>245</v>
      </c>
      <c r="I48" t="s">
        <v>264</v>
      </c>
      <c r="J48">
        <v>167938</v>
      </c>
      <c r="K48" s="7">
        <v>113753</v>
      </c>
      <c r="L48">
        <v>39373</v>
      </c>
      <c r="M48">
        <v>181</v>
      </c>
      <c r="N48">
        <v>39554</v>
      </c>
      <c r="O48" t="s">
        <v>309</v>
      </c>
      <c r="P48" t="s">
        <v>248</v>
      </c>
      <c r="Q48">
        <v>34987</v>
      </c>
      <c r="R48">
        <f>N48-Q48</f>
        <v>4567</v>
      </c>
      <c r="U48">
        <f t="shared" si="0"/>
        <v>71</v>
      </c>
      <c r="V48">
        <f t="shared" si="1"/>
        <v>71</v>
      </c>
      <c r="W48">
        <f t="shared" si="2"/>
        <v>100023</v>
      </c>
      <c r="X48">
        <f t="shared" si="3"/>
        <v>32341</v>
      </c>
      <c r="Y48">
        <f t="shared" si="4"/>
        <v>9719610</v>
      </c>
    </row>
    <row r="49" spans="1:25" x14ac:dyDescent="0.25">
      <c r="A49" s="5">
        <v>48</v>
      </c>
      <c r="B49" s="1" t="s">
        <v>103</v>
      </c>
      <c r="C49" s="1" t="s">
        <v>104</v>
      </c>
      <c r="D49" t="s">
        <v>262</v>
      </c>
      <c r="E49" t="s">
        <v>254</v>
      </c>
      <c r="F49" s="2" t="s">
        <v>243</v>
      </c>
      <c r="G49">
        <v>74</v>
      </c>
      <c r="H49" s="3" t="s">
        <v>247</v>
      </c>
      <c r="I49" t="s">
        <v>263</v>
      </c>
      <c r="J49">
        <v>208070</v>
      </c>
      <c r="K49" s="7">
        <v>143300</v>
      </c>
      <c r="L49">
        <v>40475</v>
      </c>
      <c r="M49">
        <v>569</v>
      </c>
      <c r="N49">
        <v>41044</v>
      </c>
      <c r="O49" t="s">
        <v>310</v>
      </c>
      <c r="P49" t="s">
        <v>246</v>
      </c>
      <c r="Q49">
        <v>38353</v>
      </c>
      <c r="R49">
        <f>N49-Q49</f>
        <v>2691</v>
      </c>
      <c r="U49">
        <f t="shared" si="0"/>
        <v>70</v>
      </c>
      <c r="V49">
        <f t="shared" si="1"/>
        <v>70</v>
      </c>
      <c r="W49">
        <f t="shared" si="2"/>
        <v>100023</v>
      </c>
      <c r="X49">
        <f t="shared" si="3"/>
        <v>32341</v>
      </c>
      <c r="Y49">
        <f t="shared" si="4"/>
        <v>9605857</v>
      </c>
    </row>
    <row r="50" spans="1:25" x14ac:dyDescent="0.25">
      <c r="A50" s="5">
        <v>49</v>
      </c>
      <c r="B50" s="1" t="s">
        <v>105</v>
      </c>
      <c r="C50" s="1" t="s">
        <v>106</v>
      </c>
      <c r="D50" t="s">
        <v>260</v>
      </c>
      <c r="E50" t="s">
        <v>107</v>
      </c>
      <c r="F50" s="2" t="s">
        <v>243</v>
      </c>
      <c r="G50">
        <v>37</v>
      </c>
      <c r="H50" s="3" t="s">
        <v>246</v>
      </c>
      <c r="I50" t="s">
        <v>263</v>
      </c>
      <c r="J50">
        <v>201374</v>
      </c>
      <c r="K50" s="7">
        <v>133456</v>
      </c>
      <c r="L50">
        <v>42617</v>
      </c>
      <c r="M50">
        <v>655</v>
      </c>
      <c r="N50">
        <v>43272</v>
      </c>
      <c r="O50" t="s">
        <v>311</v>
      </c>
      <c r="P50" t="s">
        <v>245</v>
      </c>
      <c r="Q50">
        <v>34685</v>
      </c>
      <c r="R50">
        <f>N50-Q50</f>
        <v>8587</v>
      </c>
      <c r="U50">
        <f t="shared" si="0"/>
        <v>69</v>
      </c>
      <c r="V50">
        <f t="shared" si="1"/>
        <v>69</v>
      </c>
      <c r="W50">
        <f t="shared" si="2"/>
        <v>100023</v>
      </c>
      <c r="X50">
        <f t="shared" si="3"/>
        <v>32341</v>
      </c>
      <c r="Y50">
        <f t="shared" si="4"/>
        <v>9462557</v>
      </c>
    </row>
    <row r="51" spans="1:25" x14ac:dyDescent="0.25">
      <c r="A51" s="5">
        <v>50</v>
      </c>
      <c r="B51" s="1" t="s">
        <v>107</v>
      </c>
      <c r="C51" s="1" t="s">
        <v>108</v>
      </c>
      <c r="D51" t="s">
        <v>260</v>
      </c>
      <c r="E51" t="s">
        <v>107</v>
      </c>
      <c r="F51" s="2" t="s">
        <v>243</v>
      </c>
      <c r="G51">
        <v>52</v>
      </c>
      <c r="H51" s="3" t="s">
        <v>246</v>
      </c>
      <c r="I51" t="s">
        <v>263</v>
      </c>
      <c r="J51">
        <v>183066</v>
      </c>
      <c r="K51" s="7">
        <v>125205</v>
      </c>
      <c r="L51">
        <v>42029</v>
      </c>
      <c r="M51">
        <v>547</v>
      </c>
      <c r="N51">
        <v>42576</v>
      </c>
      <c r="O51" t="s">
        <v>312</v>
      </c>
      <c r="P51" t="s">
        <v>245</v>
      </c>
      <c r="Q51">
        <v>38386</v>
      </c>
      <c r="R51">
        <f>N51-Q51</f>
        <v>4190</v>
      </c>
      <c r="U51">
        <f t="shared" si="0"/>
        <v>68</v>
      </c>
      <c r="V51">
        <f t="shared" si="1"/>
        <v>68</v>
      </c>
      <c r="W51">
        <f t="shared" si="2"/>
        <v>100023</v>
      </c>
      <c r="X51">
        <f t="shared" si="3"/>
        <v>32341</v>
      </c>
      <c r="Y51">
        <f t="shared" si="4"/>
        <v>9329101</v>
      </c>
    </row>
    <row r="52" spans="1:25" x14ac:dyDescent="0.25">
      <c r="A52" s="5">
        <v>51</v>
      </c>
      <c r="B52" s="1" t="s">
        <v>109</v>
      </c>
      <c r="C52" s="1" t="s">
        <v>110</v>
      </c>
      <c r="D52" t="s">
        <v>260</v>
      </c>
      <c r="E52" t="s">
        <v>107</v>
      </c>
      <c r="F52" s="2" t="s">
        <v>243</v>
      </c>
      <c r="G52">
        <v>45</v>
      </c>
      <c r="H52" s="3" t="s">
        <v>246</v>
      </c>
      <c r="I52" t="s">
        <v>264</v>
      </c>
      <c r="J52">
        <v>178919</v>
      </c>
      <c r="K52" s="7">
        <v>124024</v>
      </c>
      <c r="L52">
        <v>60202</v>
      </c>
      <c r="M52">
        <v>528</v>
      </c>
      <c r="N52">
        <v>60730</v>
      </c>
      <c r="O52" t="s">
        <v>313</v>
      </c>
      <c r="P52" t="s">
        <v>245</v>
      </c>
      <c r="Q52">
        <v>39374</v>
      </c>
      <c r="R52">
        <f>N52-Q52</f>
        <v>21356</v>
      </c>
      <c r="U52">
        <f t="shared" si="0"/>
        <v>67</v>
      </c>
      <c r="V52">
        <f t="shared" si="1"/>
        <v>67</v>
      </c>
      <c r="W52">
        <f t="shared" si="2"/>
        <v>100023</v>
      </c>
      <c r="X52">
        <f t="shared" si="3"/>
        <v>32341</v>
      </c>
      <c r="Y52">
        <f t="shared" si="4"/>
        <v>9203896</v>
      </c>
    </row>
    <row r="53" spans="1:25" x14ac:dyDescent="0.25">
      <c r="A53" s="5">
        <v>52</v>
      </c>
      <c r="B53" s="1" t="s">
        <v>111</v>
      </c>
      <c r="C53" s="1" t="s">
        <v>112</v>
      </c>
      <c r="D53" t="s">
        <v>260</v>
      </c>
      <c r="E53" t="s">
        <v>113</v>
      </c>
      <c r="F53" s="2" t="s">
        <v>243</v>
      </c>
      <c r="G53">
        <v>56</v>
      </c>
      <c r="H53" s="3" t="s">
        <v>246</v>
      </c>
      <c r="I53" t="s">
        <v>263</v>
      </c>
      <c r="J53">
        <v>193247</v>
      </c>
      <c r="K53" s="7">
        <v>127907</v>
      </c>
      <c r="L53">
        <v>50733</v>
      </c>
      <c r="M53">
        <v>379</v>
      </c>
      <c r="N53">
        <v>51112</v>
      </c>
      <c r="O53" t="s">
        <v>314</v>
      </c>
      <c r="P53" t="s">
        <v>245</v>
      </c>
      <c r="Q53">
        <v>37253</v>
      </c>
      <c r="R53">
        <f>N53-Q53</f>
        <v>13859</v>
      </c>
      <c r="U53">
        <f t="shared" si="0"/>
        <v>66</v>
      </c>
      <c r="V53">
        <f t="shared" si="1"/>
        <v>66</v>
      </c>
      <c r="W53">
        <f t="shared" si="2"/>
        <v>100023</v>
      </c>
      <c r="X53">
        <f t="shared" si="3"/>
        <v>32341</v>
      </c>
      <c r="Y53">
        <f t="shared" si="4"/>
        <v>9079872</v>
      </c>
    </row>
    <row r="54" spans="1:25" x14ac:dyDescent="0.25">
      <c r="A54" s="5">
        <v>53</v>
      </c>
      <c r="B54" s="1" t="s">
        <v>113</v>
      </c>
      <c r="C54" s="1" t="s">
        <v>114</v>
      </c>
      <c r="D54" t="s">
        <v>260</v>
      </c>
      <c r="E54" t="s">
        <v>113</v>
      </c>
      <c r="F54" s="2" t="s">
        <v>243</v>
      </c>
      <c r="G54">
        <v>52</v>
      </c>
      <c r="H54" s="3" t="s">
        <v>245</v>
      </c>
      <c r="I54" t="s">
        <v>264</v>
      </c>
      <c r="J54">
        <v>162191</v>
      </c>
      <c r="K54" s="7">
        <v>115506</v>
      </c>
      <c r="L54">
        <v>47228</v>
      </c>
      <c r="M54">
        <v>147</v>
      </c>
      <c r="N54">
        <v>47375</v>
      </c>
      <c r="O54" t="s">
        <v>315</v>
      </c>
      <c r="P54" t="s">
        <v>246</v>
      </c>
      <c r="Q54">
        <v>39729</v>
      </c>
      <c r="R54">
        <f>N54-Q54</f>
        <v>7646</v>
      </c>
      <c r="U54">
        <f t="shared" si="0"/>
        <v>65</v>
      </c>
      <c r="V54">
        <f t="shared" si="1"/>
        <v>65</v>
      </c>
      <c r="W54">
        <f t="shared" si="2"/>
        <v>100023</v>
      </c>
      <c r="X54">
        <f t="shared" si="3"/>
        <v>32341</v>
      </c>
      <c r="Y54">
        <f t="shared" si="4"/>
        <v>8951965</v>
      </c>
    </row>
    <row r="55" spans="1:25" x14ac:dyDescent="0.25">
      <c r="A55" s="5">
        <v>54</v>
      </c>
      <c r="B55" s="1" t="s">
        <v>115</v>
      </c>
      <c r="C55" s="1" t="s">
        <v>116</v>
      </c>
      <c r="D55" t="s">
        <v>260</v>
      </c>
      <c r="E55" t="s">
        <v>117</v>
      </c>
      <c r="F55" s="2" t="s">
        <v>243</v>
      </c>
      <c r="G55">
        <v>39</v>
      </c>
      <c r="H55" s="3" t="s">
        <v>246</v>
      </c>
      <c r="I55" t="s">
        <v>263</v>
      </c>
      <c r="J55">
        <v>176304</v>
      </c>
      <c r="K55" s="7">
        <v>122472</v>
      </c>
      <c r="L55">
        <v>32045</v>
      </c>
      <c r="M55">
        <v>296</v>
      </c>
      <c r="N55">
        <v>32341</v>
      </c>
      <c r="O55" t="s">
        <v>316</v>
      </c>
      <c r="P55" t="s">
        <v>245</v>
      </c>
      <c r="Q55">
        <v>28162</v>
      </c>
      <c r="R55">
        <f>N55-Q55</f>
        <v>4179</v>
      </c>
      <c r="U55">
        <f t="shared" si="0"/>
        <v>64</v>
      </c>
      <c r="V55">
        <f t="shared" si="1"/>
        <v>64</v>
      </c>
      <c r="W55">
        <f t="shared" si="2"/>
        <v>100023</v>
      </c>
      <c r="X55">
        <f t="shared" si="3"/>
        <v>32341</v>
      </c>
      <c r="Y55">
        <f t="shared" si="4"/>
        <v>8836459</v>
      </c>
    </row>
    <row r="56" spans="1:25" x14ac:dyDescent="0.25">
      <c r="A56" s="5">
        <v>55</v>
      </c>
      <c r="B56" s="1" t="s">
        <v>117</v>
      </c>
      <c r="C56" s="1" t="s">
        <v>118</v>
      </c>
      <c r="D56" t="s">
        <v>260</v>
      </c>
      <c r="E56" t="s">
        <v>117</v>
      </c>
      <c r="F56" s="2" t="s">
        <v>243</v>
      </c>
      <c r="G56">
        <v>61</v>
      </c>
      <c r="H56" s="3" t="s">
        <v>248</v>
      </c>
      <c r="I56" t="s">
        <v>264</v>
      </c>
      <c r="J56">
        <v>165407</v>
      </c>
      <c r="K56" s="7">
        <v>115301</v>
      </c>
      <c r="L56">
        <v>37106</v>
      </c>
      <c r="M56">
        <v>232</v>
      </c>
      <c r="N56">
        <v>37338</v>
      </c>
      <c r="O56" t="s">
        <v>317</v>
      </c>
      <c r="P56" t="s">
        <v>245</v>
      </c>
      <c r="Q56">
        <v>32269</v>
      </c>
      <c r="R56">
        <f>N56-Q56</f>
        <v>5069</v>
      </c>
      <c r="U56">
        <f t="shared" si="0"/>
        <v>63</v>
      </c>
      <c r="V56">
        <f t="shared" si="1"/>
        <v>63</v>
      </c>
      <c r="W56">
        <f t="shared" si="2"/>
        <v>100023</v>
      </c>
      <c r="X56">
        <f t="shared" si="3"/>
        <v>32789</v>
      </c>
      <c r="Y56">
        <f t="shared" si="4"/>
        <v>8713987</v>
      </c>
    </row>
    <row r="57" spans="1:25" x14ac:dyDescent="0.25">
      <c r="A57" s="5">
        <v>56</v>
      </c>
      <c r="B57" s="1" t="s">
        <v>119</v>
      </c>
      <c r="C57" s="1" t="s">
        <v>120</v>
      </c>
      <c r="D57" t="s">
        <v>260</v>
      </c>
      <c r="E57" t="s">
        <v>117</v>
      </c>
      <c r="F57" s="2" t="s">
        <v>243</v>
      </c>
      <c r="G57">
        <v>47</v>
      </c>
      <c r="H57" s="3" t="s">
        <v>250</v>
      </c>
      <c r="I57" t="s">
        <v>264</v>
      </c>
      <c r="J57">
        <v>177400</v>
      </c>
      <c r="K57" s="7">
        <v>123868</v>
      </c>
      <c r="L57">
        <v>36695</v>
      </c>
      <c r="M57">
        <v>336</v>
      </c>
      <c r="N57">
        <v>37031</v>
      </c>
      <c r="O57" t="s">
        <v>318</v>
      </c>
      <c r="P57" t="s">
        <v>246</v>
      </c>
      <c r="Q57">
        <v>31655</v>
      </c>
      <c r="R57">
        <f>N57-Q57</f>
        <v>5376</v>
      </c>
      <c r="U57">
        <f t="shared" si="0"/>
        <v>62</v>
      </c>
      <c r="V57">
        <f t="shared" si="1"/>
        <v>62</v>
      </c>
      <c r="W57">
        <f t="shared" si="2"/>
        <v>100023</v>
      </c>
      <c r="X57">
        <f t="shared" si="3"/>
        <v>32789</v>
      </c>
      <c r="Y57">
        <f t="shared" si="4"/>
        <v>8598686</v>
      </c>
    </row>
    <row r="58" spans="1:25" x14ac:dyDescent="0.25">
      <c r="A58" s="5">
        <v>57</v>
      </c>
      <c r="B58" s="1" t="s">
        <v>121</v>
      </c>
      <c r="C58" s="1" t="s">
        <v>122</v>
      </c>
      <c r="D58" t="s">
        <v>260</v>
      </c>
      <c r="E58" t="s">
        <v>255</v>
      </c>
      <c r="F58" s="2" t="s">
        <v>243</v>
      </c>
      <c r="G58">
        <v>31</v>
      </c>
      <c r="H58" s="3" t="s">
        <v>246</v>
      </c>
      <c r="I58" t="s">
        <v>263</v>
      </c>
      <c r="J58">
        <v>193750</v>
      </c>
      <c r="K58" s="7">
        <v>141809</v>
      </c>
      <c r="L58">
        <v>81730</v>
      </c>
      <c r="M58">
        <v>402</v>
      </c>
      <c r="N58">
        <v>82132</v>
      </c>
      <c r="O58" t="s">
        <v>320</v>
      </c>
      <c r="P58" t="s">
        <v>245</v>
      </c>
      <c r="Q58">
        <v>36352</v>
      </c>
      <c r="R58">
        <f>N58-Q58</f>
        <v>45780</v>
      </c>
      <c r="U58">
        <f t="shared" si="0"/>
        <v>61</v>
      </c>
      <c r="V58">
        <f t="shared" si="1"/>
        <v>61</v>
      </c>
      <c r="W58">
        <f t="shared" si="2"/>
        <v>100023</v>
      </c>
      <c r="X58">
        <f t="shared" si="3"/>
        <v>32789</v>
      </c>
      <c r="Y58">
        <f t="shared" si="4"/>
        <v>8474818</v>
      </c>
    </row>
    <row r="59" spans="1:25" x14ac:dyDescent="0.25">
      <c r="A59" s="5">
        <v>58</v>
      </c>
      <c r="B59" s="1" t="s">
        <v>123</v>
      </c>
      <c r="C59" s="1" t="s">
        <v>124</v>
      </c>
      <c r="D59" t="s">
        <v>260</v>
      </c>
      <c r="E59" t="s">
        <v>255</v>
      </c>
      <c r="F59" s="2" t="s">
        <v>243</v>
      </c>
      <c r="G59">
        <v>37</v>
      </c>
      <c r="H59" s="3" t="s">
        <v>246</v>
      </c>
      <c r="I59" t="s">
        <v>263</v>
      </c>
      <c r="J59">
        <v>185516</v>
      </c>
      <c r="K59" s="7">
        <v>135793</v>
      </c>
      <c r="L59">
        <v>59573</v>
      </c>
      <c r="M59">
        <v>330</v>
      </c>
      <c r="N59">
        <v>59903</v>
      </c>
      <c r="O59" t="s">
        <v>321</v>
      </c>
      <c r="P59" t="s">
        <v>245</v>
      </c>
      <c r="Q59">
        <v>36271</v>
      </c>
      <c r="R59">
        <f>N59-Q59</f>
        <v>23632</v>
      </c>
      <c r="U59">
        <f t="shared" si="0"/>
        <v>60</v>
      </c>
      <c r="V59">
        <f t="shared" si="1"/>
        <v>60</v>
      </c>
      <c r="W59">
        <f t="shared" si="2"/>
        <v>100023</v>
      </c>
      <c r="X59">
        <f t="shared" si="3"/>
        <v>32789</v>
      </c>
      <c r="Y59">
        <f t="shared" si="4"/>
        <v>8333009</v>
      </c>
    </row>
    <row r="60" spans="1:25" x14ac:dyDescent="0.25">
      <c r="A60" s="5">
        <v>59</v>
      </c>
      <c r="B60" s="1" t="s">
        <v>125</v>
      </c>
      <c r="C60" s="1" t="s">
        <v>126</v>
      </c>
      <c r="D60" t="s">
        <v>260</v>
      </c>
      <c r="E60" t="s">
        <v>255</v>
      </c>
      <c r="F60" s="2" t="s">
        <v>243</v>
      </c>
      <c r="G60">
        <v>61</v>
      </c>
      <c r="H60" s="3" t="s">
        <v>246</v>
      </c>
      <c r="I60" t="s">
        <v>264</v>
      </c>
      <c r="J60">
        <v>198260</v>
      </c>
      <c r="K60" s="7">
        <v>147571</v>
      </c>
      <c r="L60">
        <v>69981</v>
      </c>
      <c r="M60">
        <v>267</v>
      </c>
      <c r="N60">
        <v>70248</v>
      </c>
      <c r="O60" t="s">
        <v>322</v>
      </c>
      <c r="P60" t="s">
        <v>245</v>
      </c>
      <c r="Q60">
        <v>62306</v>
      </c>
      <c r="R60">
        <f>N60-Q60</f>
        <v>7942</v>
      </c>
      <c r="U60">
        <f t="shared" si="0"/>
        <v>59</v>
      </c>
      <c r="V60">
        <f t="shared" si="1"/>
        <v>59</v>
      </c>
      <c r="W60">
        <f t="shared" si="2"/>
        <v>100023</v>
      </c>
      <c r="X60">
        <f t="shared" si="3"/>
        <v>32789</v>
      </c>
      <c r="Y60">
        <f t="shared" si="4"/>
        <v>8197216</v>
      </c>
    </row>
    <row r="61" spans="1:25" x14ac:dyDescent="0.25">
      <c r="A61" s="5">
        <v>60</v>
      </c>
      <c r="B61" s="1" t="s">
        <v>127</v>
      </c>
      <c r="C61" s="1" t="s">
        <v>128</v>
      </c>
      <c r="D61" t="s">
        <v>260</v>
      </c>
      <c r="E61" t="s">
        <v>255</v>
      </c>
      <c r="F61" s="2" t="s">
        <v>243</v>
      </c>
      <c r="G61">
        <v>60</v>
      </c>
      <c r="H61" s="3" t="s">
        <v>246</v>
      </c>
      <c r="I61" t="s">
        <v>264</v>
      </c>
      <c r="J61">
        <v>239357</v>
      </c>
      <c r="K61" s="7">
        <v>155196</v>
      </c>
      <c r="L61">
        <v>76915</v>
      </c>
      <c r="M61">
        <v>219</v>
      </c>
      <c r="N61">
        <v>77134</v>
      </c>
      <c r="O61" t="s">
        <v>324</v>
      </c>
      <c r="P61" t="s">
        <v>245</v>
      </c>
      <c r="Q61">
        <v>43037</v>
      </c>
      <c r="R61">
        <f>N61-Q61</f>
        <v>34097</v>
      </c>
      <c r="U61">
        <f t="shared" si="0"/>
        <v>58</v>
      </c>
      <c r="V61">
        <f t="shared" si="1"/>
        <v>58</v>
      </c>
      <c r="W61">
        <f t="shared" si="2"/>
        <v>100023</v>
      </c>
      <c r="X61">
        <f t="shared" si="3"/>
        <v>32789</v>
      </c>
      <c r="Y61">
        <f t="shared" si="4"/>
        <v>8049645</v>
      </c>
    </row>
    <row r="62" spans="1:25" x14ac:dyDescent="0.25">
      <c r="A62" s="5">
        <v>61</v>
      </c>
      <c r="B62" s="1" t="s">
        <v>129</v>
      </c>
      <c r="C62" s="1" t="s">
        <v>130</v>
      </c>
      <c r="D62" t="s">
        <v>260</v>
      </c>
      <c r="E62" t="s">
        <v>255</v>
      </c>
      <c r="F62" s="2" t="s">
        <v>243</v>
      </c>
      <c r="G62">
        <v>43</v>
      </c>
      <c r="H62" s="3" t="s">
        <v>246</v>
      </c>
      <c r="I62" t="s">
        <v>264</v>
      </c>
      <c r="J62">
        <v>149842</v>
      </c>
      <c r="K62" s="7">
        <v>112144</v>
      </c>
      <c r="L62">
        <v>53741</v>
      </c>
      <c r="M62">
        <v>277</v>
      </c>
      <c r="N62">
        <v>54018</v>
      </c>
      <c r="O62" t="s">
        <v>325</v>
      </c>
      <c r="P62" t="s">
        <v>245</v>
      </c>
      <c r="Q62">
        <v>16177</v>
      </c>
      <c r="R62">
        <f>N62-Q62</f>
        <v>37841</v>
      </c>
      <c r="U62">
        <f t="shared" si="0"/>
        <v>57</v>
      </c>
      <c r="V62">
        <f t="shared" si="1"/>
        <v>57</v>
      </c>
      <c r="W62">
        <f t="shared" si="2"/>
        <v>100023</v>
      </c>
      <c r="X62">
        <f t="shared" si="3"/>
        <v>32789</v>
      </c>
      <c r="Y62">
        <f t="shared" si="4"/>
        <v>7894449</v>
      </c>
    </row>
    <row r="63" spans="1:25" x14ac:dyDescent="0.25">
      <c r="A63" s="5">
        <v>62</v>
      </c>
      <c r="B63" s="1" t="s">
        <v>131</v>
      </c>
      <c r="C63" s="1" t="s">
        <v>132</v>
      </c>
      <c r="D63" t="s">
        <v>260</v>
      </c>
      <c r="E63" t="s">
        <v>255</v>
      </c>
      <c r="F63" s="2" t="s">
        <v>243</v>
      </c>
      <c r="G63">
        <v>51</v>
      </c>
      <c r="H63" s="3" t="s">
        <v>246</v>
      </c>
      <c r="I63" t="s">
        <v>263</v>
      </c>
      <c r="J63">
        <v>162218</v>
      </c>
      <c r="K63" s="7">
        <v>125515</v>
      </c>
      <c r="L63">
        <v>57363</v>
      </c>
      <c r="M63">
        <v>343</v>
      </c>
      <c r="N63">
        <v>57706</v>
      </c>
      <c r="O63" t="s">
        <v>326</v>
      </c>
      <c r="P63" t="s">
        <v>245</v>
      </c>
      <c r="Q63">
        <v>25507</v>
      </c>
      <c r="R63">
        <f>N63-Q63</f>
        <v>32199</v>
      </c>
      <c r="U63">
        <f t="shared" si="0"/>
        <v>56</v>
      </c>
      <c r="V63">
        <f t="shared" si="1"/>
        <v>56</v>
      </c>
      <c r="W63">
        <f t="shared" si="2"/>
        <v>100023</v>
      </c>
      <c r="X63">
        <f t="shared" si="3"/>
        <v>32789</v>
      </c>
      <c r="Y63">
        <f t="shared" si="4"/>
        <v>7782305</v>
      </c>
    </row>
    <row r="64" spans="1:25" x14ac:dyDescent="0.25">
      <c r="A64" s="5">
        <v>63</v>
      </c>
      <c r="B64" s="1" t="s">
        <v>133</v>
      </c>
      <c r="C64" s="1" t="s">
        <v>134</v>
      </c>
      <c r="D64" t="s">
        <v>260</v>
      </c>
      <c r="E64" t="s">
        <v>255</v>
      </c>
      <c r="F64" s="2" t="s">
        <v>243</v>
      </c>
      <c r="G64">
        <v>35</v>
      </c>
      <c r="H64" s="3" t="s">
        <v>246</v>
      </c>
      <c r="I64" t="s">
        <v>263</v>
      </c>
      <c r="J64">
        <v>144730</v>
      </c>
      <c r="K64" s="7">
        <v>113966</v>
      </c>
      <c r="L64">
        <v>52648</v>
      </c>
      <c r="M64">
        <v>264</v>
      </c>
      <c r="N64">
        <v>52912</v>
      </c>
      <c r="O64" t="s">
        <v>327</v>
      </c>
      <c r="P64" t="s">
        <v>248</v>
      </c>
      <c r="Q64">
        <v>28249</v>
      </c>
      <c r="R64">
        <f>N64-Q64</f>
        <v>24663</v>
      </c>
      <c r="U64">
        <f t="shared" si="0"/>
        <v>55</v>
      </c>
      <c r="V64">
        <f t="shared" si="1"/>
        <v>55</v>
      </c>
      <c r="W64">
        <f t="shared" si="2"/>
        <v>100023</v>
      </c>
      <c r="X64">
        <f t="shared" si="3"/>
        <v>32789</v>
      </c>
      <c r="Y64">
        <f t="shared" si="4"/>
        <v>7656790</v>
      </c>
    </row>
    <row r="65" spans="1:25" x14ac:dyDescent="0.25">
      <c r="A65" s="5">
        <v>64</v>
      </c>
      <c r="B65" s="1" t="s">
        <v>135</v>
      </c>
      <c r="C65" s="1" t="s">
        <v>136</v>
      </c>
      <c r="D65" t="s">
        <v>260</v>
      </c>
      <c r="E65" t="s">
        <v>255</v>
      </c>
      <c r="F65" s="2" t="s">
        <v>243</v>
      </c>
      <c r="G65">
        <v>38</v>
      </c>
      <c r="H65" s="3" t="s">
        <v>246</v>
      </c>
      <c r="I65" t="s">
        <v>263</v>
      </c>
      <c r="J65">
        <v>172035</v>
      </c>
      <c r="K65" s="7">
        <v>128586</v>
      </c>
      <c r="L65">
        <v>61951</v>
      </c>
      <c r="M65">
        <v>474</v>
      </c>
      <c r="N65">
        <v>62425</v>
      </c>
      <c r="O65" t="s">
        <v>328</v>
      </c>
      <c r="P65" t="s">
        <v>248</v>
      </c>
      <c r="Q65">
        <v>26805</v>
      </c>
      <c r="R65">
        <f>N65-Q65</f>
        <v>35620</v>
      </c>
      <c r="U65">
        <f t="shared" si="0"/>
        <v>54</v>
      </c>
      <c r="V65">
        <f t="shared" si="1"/>
        <v>54</v>
      </c>
      <c r="W65">
        <f t="shared" si="2"/>
        <v>100023</v>
      </c>
      <c r="X65">
        <f t="shared" si="3"/>
        <v>32789</v>
      </c>
      <c r="Y65">
        <f t="shared" si="4"/>
        <v>7542824</v>
      </c>
    </row>
    <row r="66" spans="1:25" x14ac:dyDescent="0.25">
      <c r="A66" s="5">
        <v>65</v>
      </c>
      <c r="B66" s="1" t="s">
        <v>137</v>
      </c>
      <c r="C66" s="1" t="s">
        <v>138</v>
      </c>
      <c r="D66" t="s">
        <v>260</v>
      </c>
      <c r="E66" t="s">
        <v>255</v>
      </c>
      <c r="F66" s="2" t="s">
        <v>243</v>
      </c>
      <c r="G66">
        <v>41</v>
      </c>
      <c r="H66" s="3" t="s">
        <v>246</v>
      </c>
      <c r="I66" t="s">
        <v>263</v>
      </c>
      <c r="J66">
        <v>176507</v>
      </c>
      <c r="K66" s="7">
        <v>133524</v>
      </c>
      <c r="L66">
        <v>57126</v>
      </c>
      <c r="M66">
        <v>431</v>
      </c>
      <c r="N66">
        <v>57557</v>
      </c>
      <c r="O66" t="s">
        <v>329</v>
      </c>
      <c r="P66" t="s">
        <v>248</v>
      </c>
      <c r="Q66">
        <v>26667</v>
      </c>
      <c r="R66">
        <f>N66-Q66</f>
        <v>30890</v>
      </c>
      <c r="U66">
        <f t="shared" si="0"/>
        <v>53</v>
      </c>
      <c r="V66">
        <f t="shared" si="1"/>
        <v>53</v>
      </c>
      <c r="W66">
        <f t="shared" si="2"/>
        <v>100023</v>
      </c>
      <c r="X66">
        <f t="shared" si="3"/>
        <v>32789</v>
      </c>
      <c r="Y66">
        <f t="shared" si="4"/>
        <v>7414238</v>
      </c>
    </row>
    <row r="67" spans="1:25" x14ac:dyDescent="0.25">
      <c r="A67" s="5">
        <v>66</v>
      </c>
      <c r="B67" s="1" t="s">
        <v>139</v>
      </c>
      <c r="C67" s="1" t="s">
        <v>140</v>
      </c>
      <c r="D67" t="s">
        <v>260</v>
      </c>
      <c r="E67" t="s">
        <v>255</v>
      </c>
      <c r="F67" s="2" t="s">
        <v>243</v>
      </c>
      <c r="G67">
        <v>46</v>
      </c>
      <c r="H67" s="3" t="s">
        <v>246</v>
      </c>
      <c r="I67" t="s">
        <v>263</v>
      </c>
      <c r="J67">
        <v>265386</v>
      </c>
      <c r="K67" s="7">
        <v>179196</v>
      </c>
      <c r="L67">
        <v>61312</v>
      </c>
      <c r="M67">
        <v>203</v>
      </c>
      <c r="N67">
        <v>61515</v>
      </c>
      <c r="O67" t="s">
        <v>330</v>
      </c>
      <c r="P67" t="s">
        <v>245</v>
      </c>
      <c r="Q67">
        <v>46322</v>
      </c>
      <c r="R67">
        <f>N67-Q67</f>
        <v>15193</v>
      </c>
      <c r="U67">
        <f t="shared" ref="U67:U118" si="5">COUNTA(A67:A183)</f>
        <v>52</v>
      </c>
      <c r="V67">
        <f t="shared" ref="V67:V118" si="6">COUNTA(B67:B183)</f>
        <v>52</v>
      </c>
      <c r="W67">
        <f t="shared" ref="W67:W118" si="7">MAX(N67:N183)</f>
        <v>100023</v>
      </c>
      <c r="X67">
        <f t="shared" ref="X67:X118" si="8">MIN(N67:N183)</f>
        <v>32789</v>
      </c>
      <c r="Y67">
        <f t="shared" ref="Y67:Y118" si="9">SUM(K67:K183)</f>
        <v>7280714</v>
      </c>
    </row>
    <row r="68" spans="1:25" x14ac:dyDescent="0.25">
      <c r="A68" s="5">
        <v>67</v>
      </c>
      <c r="B68" s="1" t="s">
        <v>141</v>
      </c>
      <c r="C68" s="1" t="s">
        <v>142</v>
      </c>
      <c r="D68" t="s">
        <v>260</v>
      </c>
      <c r="E68" t="s">
        <v>255</v>
      </c>
      <c r="F68" s="2" t="s">
        <v>243</v>
      </c>
      <c r="G68">
        <v>56</v>
      </c>
      <c r="H68" s="3" t="s">
        <v>246</v>
      </c>
      <c r="I68" t="s">
        <v>263</v>
      </c>
      <c r="J68">
        <v>217819</v>
      </c>
      <c r="K68" s="7">
        <v>144481</v>
      </c>
      <c r="L68">
        <v>68521</v>
      </c>
      <c r="M68">
        <v>161</v>
      </c>
      <c r="N68">
        <v>68682</v>
      </c>
      <c r="O68" t="s">
        <v>331</v>
      </c>
      <c r="P68" t="s">
        <v>245</v>
      </c>
      <c r="Q68">
        <v>32760</v>
      </c>
      <c r="R68">
        <f>N68-Q68</f>
        <v>35922</v>
      </c>
      <c r="U68">
        <f t="shared" si="5"/>
        <v>51</v>
      </c>
      <c r="V68">
        <f t="shared" si="6"/>
        <v>51</v>
      </c>
      <c r="W68">
        <f t="shared" si="7"/>
        <v>100023</v>
      </c>
      <c r="X68">
        <f t="shared" si="8"/>
        <v>32789</v>
      </c>
      <c r="Y68">
        <f t="shared" si="9"/>
        <v>7101518</v>
      </c>
    </row>
    <row r="69" spans="1:25" x14ac:dyDescent="0.25">
      <c r="A69" s="5">
        <v>68</v>
      </c>
      <c r="B69" s="1" t="s">
        <v>143</v>
      </c>
      <c r="C69" s="1" t="s">
        <v>144</v>
      </c>
      <c r="D69" t="s">
        <v>260</v>
      </c>
      <c r="E69" t="s">
        <v>255</v>
      </c>
      <c r="F69" s="2" t="s">
        <v>243</v>
      </c>
      <c r="G69">
        <v>57</v>
      </c>
      <c r="H69" s="3" t="s">
        <v>246</v>
      </c>
      <c r="I69" t="s">
        <v>263</v>
      </c>
      <c r="J69">
        <v>170698</v>
      </c>
      <c r="K69" s="7">
        <v>105083</v>
      </c>
      <c r="L69">
        <v>44369</v>
      </c>
      <c r="M69">
        <v>232</v>
      </c>
      <c r="N69">
        <v>44601</v>
      </c>
      <c r="O69" t="s">
        <v>333</v>
      </c>
      <c r="P69" t="s">
        <v>245</v>
      </c>
      <c r="Q69">
        <v>28247</v>
      </c>
      <c r="R69">
        <f>N69-Q69</f>
        <v>16354</v>
      </c>
      <c r="U69">
        <f t="shared" si="5"/>
        <v>50</v>
      </c>
      <c r="V69">
        <f t="shared" si="6"/>
        <v>50</v>
      </c>
      <c r="W69">
        <f t="shared" si="7"/>
        <v>100023</v>
      </c>
      <c r="X69">
        <f t="shared" si="8"/>
        <v>32789</v>
      </c>
      <c r="Y69">
        <f t="shared" si="9"/>
        <v>6957037</v>
      </c>
    </row>
    <row r="70" spans="1:25" x14ac:dyDescent="0.25">
      <c r="A70" s="5">
        <v>69</v>
      </c>
      <c r="B70" s="1" t="s">
        <v>145</v>
      </c>
      <c r="C70" s="1" t="s">
        <v>146</v>
      </c>
      <c r="D70" t="s">
        <v>260</v>
      </c>
      <c r="E70" t="s">
        <v>255</v>
      </c>
      <c r="F70" s="2" t="s">
        <v>243</v>
      </c>
      <c r="G70">
        <v>57</v>
      </c>
      <c r="H70" s="3" t="s">
        <v>246</v>
      </c>
      <c r="I70" t="s">
        <v>263</v>
      </c>
      <c r="J70">
        <v>158945</v>
      </c>
      <c r="K70" s="7">
        <v>98405</v>
      </c>
      <c r="L70">
        <v>32707</v>
      </c>
      <c r="M70">
        <v>82</v>
      </c>
      <c r="N70">
        <v>32789</v>
      </c>
      <c r="O70" t="s">
        <v>334</v>
      </c>
      <c r="P70" t="s">
        <v>247</v>
      </c>
      <c r="Q70">
        <v>27985</v>
      </c>
      <c r="R70">
        <f>N70-Q70</f>
        <v>4804</v>
      </c>
      <c r="U70">
        <f t="shared" si="5"/>
        <v>49</v>
      </c>
      <c r="V70">
        <f t="shared" si="6"/>
        <v>49</v>
      </c>
      <c r="W70">
        <f t="shared" si="7"/>
        <v>100023</v>
      </c>
      <c r="X70">
        <f t="shared" si="8"/>
        <v>32789</v>
      </c>
      <c r="Y70">
        <f t="shared" si="9"/>
        <v>6851954</v>
      </c>
    </row>
    <row r="71" spans="1:25" x14ac:dyDescent="0.25">
      <c r="A71" s="5">
        <v>70</v>
      </c>
      <c r="B71" s="1" t="s">
        <v>147</v>
      </c>
      <c r="C71" s="1" t="s">
        <v>148</v>
      </c>
      <c r="D71" t="s">
        <v>260</v>
      </c>
      <c r="E71" t="s">
        <v>255</v>
      </c>
      <c r="F71" s="2" t="s">
        <v>243</v>
      </c>
      <c r="G71">
        <v>54</v>
      </c>
      <c r="H71" s="3" t="s">
        <v>246</v>
      </c>
      <c r="I71" t="s">
        <v>263</v>
      </c>
      <c r="J71">
        <v>182545</v>
      </c>
      <c r="K71" s="7">
        <v>117360</v>
      </c>
      <c r="L71">
        <v>40075</v>
      </c>
      <c r="M71">
        <v>368</v>
      </c>
      <c r="N71">
        <v>40443</v>
      </c>
      <c r="O71" t="s">
        <v>335</v>
      </c>
      <c r="P71" t="s">
        <v>245</v>
      </c>
      <c r="Q71">
        <v>32931</v>
      </c>
      <c r="R71">
        <f>N71-Q71</f>
        <v>7512</v>
      </c>
      <c r="U71">
        <f t="shared" si="5"/>
        <v>48</v>
      </c>
      <c r="V71">
        <f t="shared" si="6"/>
        <v>48</v>
      </c>
      <c r="W71">
        <f t="shared" si="7"/>
        <v>100023</v>
      </c>
      <c r="X71">
        <f t="shared" si="8"/>
        <v>40443</v>
      </c>
      <c r="Y71">
        <f t="shared" si="9"/>
        <v>6753549</v>
      </c>
    </row>
    <row r="72" spans="1:25" x14ac:dyDescent="0.25">
      <c r="A72" s="5">
        <v>71</v>
      </c>
      <c r="B72" s="1" t="s">
        <v>149</v>
      </c>
      <c r="C72" s="1" t="s">
        <v>150</v>
      </c>
      <c r="D72" t="s">
        <v>260</v>
      </c>
      <c r="E72" t="s">
        <v>153</v>
      </c>
      <c r="F72" s="2" t="s">
        <v>243</v>
      </c>
      <c r="G72">
        <v>62</v>
      </c>
      <c r="H72" s="3" t="s">
        <v>246</v>
      </c>
      <c r="I72" t="s">
        <v>263</v>
      </c>
      <c r="J72">
        <v>205144</v>
      </c>
      <c r="K72" s="7">
        <v>125907</v>
      </c>
      <c r="L72">
        <v>50983</v>
      </c>
      <c r="M72">
        <v>121</v>
      </c>
      <c r="N72">
        <v>51104</v>
      </c>
      <c r="O72" t="s">
        <v>336</v>
      </c>
      <c r="P72" t="s">
        <v>247</v>
      </c>
      <c r="Q72">
        <v>35822</v>
      </c>
      <c r="R72">
        <f>N72-Q72</f>
        <v>15282</v>
      </c>
      <c r="U72">
        <f t="shared" si="5"/>
        <v>47</v>
      </c>
      <c r="V72">
        <f t="shared" si="6"/>
        <v>47</v>
      </c>
      <c r="W72">
        <f t="shared" si="7"/>
        <v>100023</v>
      </c>
      <c r="X72">
        <f t="shared" si="8"/>
        <v>44523</v>
      </c>
      <c r="Y72">
        <f t="shared" si="9"/>
        <v>6636189</v>
      </c>
    </row>
    <row r="73" spans="1:25" x14ac:dyDescent="0.25">
      <c r="A73" s="5">
        <v>72</v>
      </c>
      <c r="B73" s="1" t="s">
        <v>151</v>
      </c>
      <c r="C73" s="1" t="s">
        <v>152</v>
      </c>
      <c r="D73" t="s">
        <v>260</v>
      </c>
      <c r="E73" t="s">
        <v>153</v>
      </c>
      <c r="F73" s="2" t="s">
        <v>243</v>
      </c>
      <c r="G73">
        <v>58</v>
      </c>
      <c r="H73" s="3" t="s">
        <v>246</v>
      </c>
      <c r="I73" t="s">
        <v>264</v>
      </c>
      <c r="J73">
        <v>273574</v>
      </c>
      <c r="K73" s="7">
        <v>184163</v>
      </c>
      <c r="L73">
        <v>92173</v>
      </c>
      <c r="M73">
        <v>523</v>
      </c>
      <c r="N73">
        <v>92696</v>
      </c>
      <c r="O73" t="s">
        <v>337</v>
      </c>
      <c r="P73" t="s">
        <v>248</v>
      </c>
      <c r="Q73">
        <v>35052</v>
      </c>
      <c r="R73">
        <f>N73-Q73</f>
        <v>57644</v>
      </c>
      <c r="U73">
        <f t="shared" si="5"/>
        <v>46</v>
      </c>
      <c r="V73">
        <f t="shared" si="6"/>
        <v>46</v>
      </c>
      <c r="W73">
        <f t="shared" si="7"/>
        <v>100023</v>
      </c>
      <c r="X73">
        <f t="shared" si="8"/>
        <v>44523</v>
      </c>
      <c r="Y73">
        <f t="shared" si="9"/>
        <v>6510282</v>
      </c>
    </row>
    <row r="74" spans="1:25" x14ac:dyDescent="0.25">
      <c r="A74" s="5">
        <v>73</v>
      </c>
      <c r="B74" s="1" t="s">
        <v>153</v>
      </c>
      <c r="C74" s="1" t="s">
        <v>154</v>
      </c>
      <c r="D74" t="s">
        <v>260</v>
      </c>
      <c r="E74" t="s">
        <v>153</v>
      </c>
      <c r="F74" s="2" t="s">
        <v>243</v>
      </c>
      <c r="G74">
        <v>47</v>
      </c>
      <c r="H74" s="3" t="s">
        <v>246</v>
      </c>
      <c r="I74" t="s">
        <v>264</v>
      </c>
      <c r="J74">
        <v>166299</v>
      </c>
      <c r="K74" s="7">
        <v>126822</v>
      </c>
      <c r="L74">
        <v>63211</v>
      </c>
      <c r="M74">
        <v>422</v>
      </c>
      <c r="N74">
        <v>63633</v>
      </c>
      <c r="O74" t="s">
        <v>338</v>
      </c>
      <c r="P74" t="s">
        <v>245</v>
      </c>
      <c r="Q74">
        <v>30624</v>
      </c>
      <c r="R74">
        <f>N74-Q74</f>
        <v>33009</v>
      </c>
      <c r="U74">
        <f t="shared" si="5"/>
        <v>45</v>
      </c>
      <c r="V74">
        <f t="shared" si="6"/>
        <v>45</v>
      </c>
      <c r="W74">
        <f t="shared" si="7"/>
        <v>100023</v>
      </c>
      <c r="X74">
        <f t="shared" si="8"/>
        <v>44523</v>
      </c>
      <c r="Y74">
        <f t="shared" si="9"/>
        <v>6326119</v>
      </c>
    </row>
    <row r="75" spans="1:25" x14ac:dyDescent="0.25">
      <c r="A75" s="5">
        <v>74</v>
      </c>
      <c r="B75" s="1" t="s">
        <v>155</v>
      </c>
      <c r="C75" s="1" t="s">
        <v>156</v>
      </c>
      <c r="D75" t="s">
        <v>260</v>
      </c>
      <c r="E75" t="s">
        <v>153</v>
      </c>
      <c r="F75" s="2" t="s">
        <v>243</v>
      </c>
      <c r="G75">
        <v>47</v>
      </c>
      <c r="H75" s="3" t="s">
        <v>248</v>
      </c>
      <c r="I75" t="s">
        <v>263</v>
      </c>
      <c r="J75">
        <v>188492</v>
      </c>
      <c r="K75" s="7">
        <v>142739</v>
      </c>
      <c r="L75">
        <v>49741</v>
      </c>
      <c r="M75">
        <v>168</v>
      </c>
      <c r="N75">
        <v>49909</v>
      </c>
      <c r="O75" t="s">
        <v>339</v>
      </c>
      <c r="P75" t="s">
        <v>245</v>
      </c>
      <c r="Q75">
        <v>44102</v>
      </c>
      <c r="R75">
        <f>N75-Q75</f>
        <v>5807</v>
      </c>
      <c r="U75">
        <f t="shared" si="5"/>
        <v>44</v>
      </c>
      <c r="V75">
        <f t="shared" si="6"/>
        <v>44</v>
      </c>
      <c r="W75">
        <f t="shared" si="7"/>
        <v>100023</v>
      </c>
      <c r="X75">
        <f t="shared" si="8"/>
        <v>44523</v>
      </c>
      <c r="Y75">
        <f t="shared" si="9"/>
        <v>6199297</v>
      </c>
    </row>
    <row r="76" spans="1:25" x14ac:dyDescent="0.25">
      <c r="A76" s="5">
        <v>75</v>
      </c>
      <c r="B76" s="1" t="s">
        <v>157</v>
      </c>
      <c r="C76" s="1" t="s">
        <v>158</v>
      </c>
      <c r="D76" t="s">
        <v>260</v>
      </c>
      <c r="E76" t="s">
        <v>256</v>
      </c>
      <c r="F76" s="2" t="s">
        <v>243</v>
      </c>
      <c r="G76">
        <v>66</v>
      </c>
      <c r="H76" s="3" t="s">
        <v>246</v>
      </c>
      <c r="I76" t="s">
        <v>264</v>
      </c>
      <c r="J76">
        <v>157186</v>
      </c>
      <c r="K76" s="7">
        <v>113599</v>
      </c>
      <c r="L76">
        <v>63303</v>
      </c>
      <c r="M76">
        <v>356</v>
      </c>
      <c r="N76">
        <v>63659</v>
      </c>
      <c r="O76" t="s">
        <v>340</v>
      </c>
      <c r="P76" t="s">
        <v>245</v>
      </c>
      <c r="Q76">
        <v>36015</v>
      </c>
      <c r="R76">
        <f>N76-Q76</f>
        <v>27644</v>
      </c>
      <c r="U76">
        <f t="shared" si="5"/>
        <v>43</v>
      </c>
      <c r="V76">
        <f t="shared" si="6"/>
        <v>43</v>
      </c>
      <c r="W76">
        <f t="shared" si="7"/>
        <v>100023</v>
      </c>
      <c r="X76">
        <f t="shared" si="8"/>
        <v>44523</v>
      </c>
      <c r="Y76">
        <f t="shared" si="9"/>
        <v>6056558</v>
      </c>
    </row>
    <row r="77" spans="1:25" x14ac:dyDescent="0.25">
      <c r="A77" s="5">
        <v>76</v>
      </c>
      <c r="B77" s="1" t="s">
        <v>159</v>
      </c>
      <c r="C77" s="1" t="s">
        <v>160</v>
      </c>
      <c r="D77" t="s">
        <v>260</v>
      </c>
      <c r="E77" t="s">
        <v>256</v>
      </c>
      <c r="F77" s="2" t="s">
        <v>243</v>
      </c>
      <c r="G77">
        <v>46</v>
      </c>
      <c r="H77" s="3" t="s">
        <v>246</v>
      </c>
      <c r="I77" t="s">
        <v>264</v>
      </c>
      <c r="J77">
        <v>198817</v>
      </c>
      <c r="K77" s="7">
        <v>141308</v>
      </c>
      <c r="L77">
        <v>64702</v>
      </c>
      <c r="M77">
        <v>454</v>
      </c>
      <c r="N77">
        <v>65156</v>
      </c>
      <c r="O77" t="s">
        <v>342</v>
      </c>
      <c r="P77" t="s">
        <v>245</v>
      </c>
      <c r="Q77">
        <v>27172</v>
      </c>
      <c r="R77">
        <f>N77-Q77</f>
        <v>37984</v>
      </c>
      <c r="U77">
        <f t="shared" si="5"/>
        <v>42</v>
      </c>
      <c r="V77">
        <f t="shared" si="6"/>
        <v>42</v>
      </c>
      <c r="W77">
        <f t="shared" si="7"/>
        <v>100023</v>
      </c>
      <c r="X77">
        <f t="shared" si="8"/>
        <v>44523</v>
      </c>
      <c r="Y77">
        <f t="shared" si="9"/>
        <v>5942959</v>
      </c>
    </row>
    <row r="78" spans="1:25" x14ac:dyDescent="0.25">
      <c r="A78" s="5">
        <v>77</v>
      </c>
      <c r="B78" s="1" t="s">
        <v>161</v>
      </c>
      <c r="C78" s="1" t="s">
        <v>162</v>
      </c>
      <c r="D78" t="s">
        <v>260</v>
      </c>
      <c r="E78" t="s">
        <v>256</v>
      </c>
      <c r="F78" s="2" t="s">
        <v>243</v>
      </c>
      <c r="G78">
        <v>32</v>
      </c>
      <c r="H78" s="3" t="s">
        <v>246</v>
      </c>
      <c r="I78" t="s">
        <v>263</v>
      </c>
      <c r="J78">
        <v>172851</v>
      </c>
      <c r="K78" s="7">
        <v>133222</v>
      </c>
      <c r="L78">
        <v>66859</v>
      </c>
      <c r="M78">
        <v>284</v>
      </c>
      <c r="N78">
        <v>67143</v>
      </c>
      <c r="O78" t="s">
        <v>343</v>
      </c>
      <c r="P78" t="s">
        <v>248</v>
      </c>
      <c r="Q78">
        <v>33384</v>
      </c>
      <c r="R78">
        <f>N78-Q78</f>
        <v>33759</v>
      </c>
      <c r="U78">
        <f t="shared" si="5"/>
        <v>41</v>
      </c>
      <c r="V78">
        <f t="shared" si="6"/>
        <v>41</v>
      </c>
      <c r="W78">
        <f t="shared" si="7"/>
        <v>100023</v>
      </c>
      <c r="X78">
        <f t="shared" si="8"/>
        <v>44523</v>
      </c>
      <c r="Y78">
        <f t="shared" si="9"/>
        <v>5801651</v>
      </c>
    </row>
    <row r="79" spans="1:25" x14ac:dyDescent="0.25">
      <c r="A79" s="5">
        <v>78</v>
      </c>
      <c r="B79" s="1" t="s">
        <v>163</v>
      </c>
      <c r="C79" s="1" t="s">
        <v>164</v>
      </c>
      <c r="D79" t="s">
        <v>260</v>
      </c>
      <c r="E79" t="s">
        <v>256</v>
      </c>
      <c r="F79" s="2" t="s">
        <v>243</v>
      </c>
      <c r="G79">
        <v>44</v>
      </c>
      <c r="H79" s="3" t="s">
        <v>246</v>
      </c>
      <c r="I79" t="s">
        <v>263</v>
      </c>
      <c r="J79">
        <v>182302</v>
      </c>
      <c r="K79" s="7">
        <v>142204</v>
      </c>
      <c r="L79">
        <v>64902</v>
      </c>
      <c r="M79">
        <v>476</v>
      </c>
      <c r="N79">
        <v>65378</v>
      </c>
      <c r="O79" t="s">
        <v>345</v>
      </c>
      <c r="P79" t="s">
        <v>245</v>
      </c>
      <c r="Q79">
        <v>35406</v>
      </c>
      <c r="R79">
        <f>N79-Q79</f>
        <v>29972</v>
      </c>
      <c r="U79">
        <f t="shared" si="5"/>
        <v>40</v>
      </c>
      <c r="V79">
        <f t="shared" si="6"/>
        <v>40</v>
      </c>
      <c r="W79">
        <f t="shared" si="7"/>
        <v>100023</v>
      </c>
      <c r="X79">
        <f t="shared" si="8"/>
        <v>44523</v>
      </c>
      <c r="Y79">
        <f t="shared" si="9"/>
        <v>5668429</v>
      </c>
    </row>
    <row r="80" spans="1:25" x14ac:dyDescent="0.25">
      <c r="A80" s="5">
        <v>79</v>
      </c>
      <c r="B80" s="1" t="s">
        <v>165</v>
      </c>
      <c r="C80" s="1" t="s">
        <v>166</v>
      </c>
      <c r="D80" t="s">
        <v>260</v>
      </c>
      <c r="E80" t="s">
        <v>167</v>
      </c>
      <c r="F80" s="2" t="s">
        <v>243</v>
      </c>
      <c r="G80">
        <v>63</v>
      </c>
      <c r="H80" s="3" t="s">
        <v>246</v>
      </c>
      <c r="I80" t="s">
        <v>263</v>
      </c>
      <c r="J80">
        <v>188313</v>
      </c>
      <c r="K80" s="7">
        <v>151211</v>
      </c>
      <c r="L80">
        <v>63709</v>
      </c>
      <c r="M80">
        <v>325</v>
      </c>
      <c r="N80">
        <v>64034</v>
      </c>
      <c r="O80" t="s">
        <v>346</v>
      </c>
      <c r="P80" t="s">
        <v>248</v>
      </c>
      <c r="Q80">
        <v>41258</v>
      </c>
      <c r="R80">
        <f>N80-Q80</f>
        <v>22776</v>
      </c>
      <c r="U80">
        <f t="shared" si="5"/>
        <v>39</v>
      </c>
      <c r="V80">
        <f t="shared" si="6"/>
        <v>39</v>
      </c>
      <c r="W80">
        <f t="shared" si="7"/>
        <v>100023</v>
      </c>
      <c r="X80">
        <f t="shared" si="8"/>
        <v>44523</v>
      </c>
      <c r="Y80">
        <f t="shared" si="9"/>
        <v>5526225</v>
      </c>
    </row>
    <row r="81" spans="1:25" x14ac:dyDescent="0.25">
      <c r="A81" s="5">
        <v>80</v>
      </c>
      <c r="B81" s="1" t="s">
        <v>167</v>
      </c>
      <c r="C81" s="1" t="s">
        <v>168</v>
      </c>
      <c r="D81" t="s">
        <v>260</v>
      </c>
      <c r="E81" t="s">
        <v>167</v>
      </c>
      <c r="F81" s="2" t="s">
        <v>243</v>
      </c>
      <c r="G81">
        <v>50</v>
      </c>
      <c r="H81" s="3" t="s">
        <v>246</v>
      </c>
      <c r="I81" t="s">
        <v>263</v>
      </c>
      <c r="J81">
        <v>173368</v>
      </c>
      <c r="K81" s="7">
        <v>124499</v>
      </c>
      <c r="L81">
        <v>47997</v>
      </c>
      <c r="M81">
        <v>446</v>
      </c>
      <c r="N81">
        <v>48443</v>
      </c>
      <c r="O81" t="s">
        <v>347</v>
      </c>
      <c r="P81" t="s">
        <v>245</v>
      </c>
      <c r="Q81">
        <v>28874</v>
      </c>
      <c r="R81">
        <f>N81-Q81</f>
        <v>19569</v>
      </c>
      <c r="U81">
        <f t="shared" si="5"/>
        <v>38</v>
      </c>
      <c r="V81">
        <f t="shared" si="6"/>
        <v>38</v>
      </c>
      <c r="W81">
        <f t="shared" si="7"/>
        <v>100023</v>
      </c>
      <c r="X81">
        <f t="shared" si="8"/>
        <v>44523</v>
      </c>
      <c r="Y81">
        <f t="shared" si="9"/>
        <v>5375014</v>
      </c>
    </row>
    <row r="82" spans="1:25" x14ac:dyDescent="0.25">
      <c r="A82" s="5">
        <v>81</v>
      </c>
      <c r="B82" s="1" t="s">
        <v>169</v>
      </c>
      <c r="C82" s="1" t="s">
        <v>170</v>
      </c>
      <c r="D82" t="s">
        <v>260</v>
      </c>
      <c r="E82" t="s">
        <v>167</v>
      </c>
      <c r="F82" s="2" t="s">
        <v>243</v>
      </c>
      <c r="G82">
        <v>45</v>
      </c>
      <c r="H82" s="3" t="s">
        <v>246</v>
      </c>
      <c r="I82" t="s">
        <v>264</v>
      </c>
      <c r="J82">
        <v>196789</v>
      </c>
      <c r="K82" s="7">
        <v>151909</v>
      </c>
      <c r="L82">
        <v>74891</v>
      </c>
      <c r="M82">
        <v>402</v>
      </c>
      <c r="N82">
        <v>75293</v>
      </c>
      <c r="O82" t="s">
        <v>348</v>
      </c>
      <c r="P82" t="s">
        <v>248</v>
      </c>
      <c r="Q82">
        <v>47547</v>
      </c>
      <c r="R82">
        <f>N82-Q82</f>
        <v>27746</v>
      </c>
      <c r="U82">
        <f t="shared" si="5"/>
        <v>37</v>
      </c>
      <c r="V82">
        <f t="shared" si="6"/>
        <v>37</v>
      </c>
      <c r="W82">
        <f t="shared" si="7"/>
        <v>100023</v>
      </c>
      <c r="X82">
        <f t="shared" si="8"/>
        <v>44523</v>
      </c>
      <c r="Y82">
        <f t="shared" si="9"/>
        <v>5250515</v>
      </c>
    </row>
    <row r="83" spans="1:25" x14ac:dyDescent="0.25">
      <c r="A83" s="5">
        <v>82</v>
      </c>
      <c r="B83" s="1" t="s">
        <v>171</v>
      </c>
      <c r="C83" s="1" t="s">
        <v>172</v>
      </c>
      <c r="D83" t="s">
        <v>260</v>
      </c>
      <c r="E83" t="s">
        <v>167</v>
      </c>
      <c r="F83" s="2" t="s">
        <v>243</v>
      </c>
      <c r="G83">
        <v>61</v>
      </c>
      <c r="H83" s="3" t="s">
        <v>246</v>
      </c>
      <c r="I83" t="s">
        <v>264</v>
      </c>
      <c r="J83">
        <v>173257</v>
      </c>
      <c r="K83" s="7">
        <v>139408</v>
      </c>
      <c r="L83">
        <v>67769</v>
      </c>
      <c r="M83">
        <v>574</v>
      </c>
      <c r="N83">
        <v>68343</v>
      </c>
      <c r="O83" t="s">
        <v>349</v>
      </c>
      <c r="P83" t="s">
        <v>248</v>
      </c>
      <c r="Q83">
        <v>57769</v>
      </c>
      <c r="R83">
        <f>N83-Q83</f>
        <v>10574</v>
      </c>
      <c r="U83">
        <f t="shared" si="5"/>
        <v>36</v>
      </c>
      <c r="V83">
        <f t="shared" si="6"/>
        <v>36</v>
      </c>
      <c r="W83">
        <f t="shared" si="7"/>
        <v>100023</v>
      </c>
      <c r="X83">
        <f t="shared" si="8"/>
        <v>44523</v>
      </c>
      <c r="Y83">
        <f t="shared" si="9"/>
        <v>5098606</v>
      </c>
    </row>
    <row r="84" spans="1:25" x14ac:dyDescent="0.25">
      <c r="A84" s="5">
        <v>83</v>
      </c>
      <c r="B84" s="1" t="s">
        <v>173</v>
      </c>
      <c r="C84" s="1" t="s">
        <v>174</v>
      </c>
      <c r="D84" t="s">
        <v>260</v>
      </c>
      <c r="E84" t="s">
        <v>257</v>
      </c>
      <c r="F84" s="2" t="s">
        <v>243</v>
      </c>
      <c r="G84">
        <v>37</v>
      </c>
      <c r="H84" s="3" t="s">
        <v>246</v>
      </c>
      <c r="I84" t="s">
        <v>263</v>
      </c>
      <c r="J84">
        <v>214303</v>
      </c>
      <c r="K84" s="7">
        <v>172717</v>
      </c>
      <c r="L84">
        <v>90308</v>
      </c>
      <c r="M84">
        <v>1147</v>
      </c>
      <c r="N84">
        <v>91455</v>
      </c>
      <c r="O84" t="s">
        <v>350</v>
      </c>
      <c r="P84" t="s">
        <v>248</v>
      </c>
      <c r="Q84">
        <v>60525</v>
      </c>
      <c r="R84">
        <f>N84-Q84</f>
        <v>30930</v>
      </c>
      <c r="U84">
        <f t="shared" si="5"/>
        <v>35</v>
      </c>
      <c r="V84">
        <f t="shared" si="6"/>
        <v>35</v>
      </c>
      <c r="W84">
        <f t="shared" si="7"/>
        <v>100023</v>
      </c>
      <c r="X84">
        <f t="shared" si="8"/>
        <v>44523</v>
      </c>
      <c r="Y84">
        <f t="shared" si="9"/>
        <v>4959198</v>
      </c>
    </row>
    <row r="85" spans="1:25" x14ac:dyDescent="0.25">
      <c r="A85" s="5">
        <v>84</v>
      </c>
      <c r="B85" s="1" t="s">
        <v>175</v>
      </c>
      <c r="C85" s="1" t="s">
        <v>176</v>
      </c>
      <c r="D85" t="s">
        <v>260</v>
      </c>
      <c r="E85" t="s">
        <v>257</v>
      </c>
      <c r="F85" s="2" t="s">
        <v>243</v>
      </c>
      <c r="G85">
        <v>30</v>
      </c>
      <c r="H85" s="3" t="s">
        <v>246</v>
      </c>
      <c r="I85" t="s">
        <v>264</v>
      </c>
      <c r="J85">
        <v>178100</v>
      </c>
      <c r="K85" s="7">
        <v>145224</v>
      </c>
      <c r="L85">
        <v>62437</v>
      </c>
      <c r="M85">
        <v>720</v>
      </c>
      <c r="N85">
        <v>63157</v>
      </c>
      <c r="O85" t="s">
        <v>351</v>
      </c>
      <c r="P85" t="s">
        <v>247</v>
      </c>
      <c r="Q85">
        <v>35437</v>
      </c>
      <c r="R85">
        <f>N85-Q85</f>
        <v>27720</v>
      </c>
      <c r="U85">
        <f t="shared" si="5"/>
        <v>34</v>
      </c>
      <c r="V85">
        <f t="shared" si="6"/>
        <v>34</v>
      </c>
      <c r="W85">
        <f t="shared" si="7"/>
        <v>100023</v>
      </c>
      <c r="X85">
        <f t="shared" si="8"/>
        <v>44523</v>
      </c>
      <c r="Y85">
        <f t="shared" si="9"/>
        <v>4786481</v>
      </c>
    </row>
    <row r="86" spans="1:25" x14ac:dyDescent="0.25">
      <c r="A86" s="5">
        <v>85</v>
      </c>
      <c r="B86" s="1" t="s">
        <v>177</v>
      </c>
      <c r="C86" s="1" t="s">
        <v>178</v>
      </c>
      <c r="D86" t="s">
        <v>260</v>
      </c>
      <c r="E86" t="s">
        <v>257</v>
      </c>
      <c r="F86" s="2" t="s">
        <v>243</v>
      </c>
      <c r="G86">
        <v>45</v>
      </c>
      <c r="H86" s="3" t="s">
        <v>245</v>
      </c>
      <c r="I86" t="s">
        <v>263</v>
      </c>
      <c r="J86">
        <v>178739</v>
      </c>
      <c r="K86" s="7">
        <v>133102</v>
      </c>
      <c r="L86">
        <v>49390</v>
      </c>
      <c r="M86">
        <v>534</v>
      </c>
      <c r="N86">
        <v>49924</v>
      </c>
      <c r="O86" t="s">
        <v>352</v>
      </c>
      <c r="P86" t="s">
        <v>246</v>
      </c>
      <c r="Q86">
        <v>44453</v>
      </c>
      <c r="R86">
        <f>N86-Q86</f>
        <v>5471</v>
      </c>
      <c r="U86">
        <f t="shared" si="5"/>
        <v>33</v>
      </c>
      <c r="V86">
        <f t="shared" si="6"/>
        <v>33</v>
      </c>
      <c r="W86">
        <f t="shared" si="7"/>
        <v>100023</v>
      </c>
      <c r="X86">
        <f t="shared" si="8"/>
        <v>44523</v>
      </c>
      <c r="Y86">
        <f t="shared" si="9"/>
        <v>4641257</v>
      </c>
    </row>
    <row r="87" spans="1:25" x14ac:dyDescent="0.25">
      <c r="A87" s="5">
        <v>86</v>
      </c>
      <c r="B87" s="1" t="s">
        <v>179</v>
      </c>
      <c r="C87" s="1" t="s">
        <v>180</v>
      </c>
      <c r="D87" t="s">
        <v>260</v>
      </c>
      <c r="E87" t="s">
        <v>257</v>
      </c>
      <c r="F87" s="2" t="s">
        <v>243</v>
      </c>
      <c r="G87">
        <v>40</v>
      </c>
      <c r="H87" s="3" t="s">
        <v>246</v>
      </c>
      <c r="I87" t="s">
        <v>264</v>
      </c>
      <c r="J87">
        <v>184437</v>
      </c>
      <c r="K87" s="7">
        <v>143964</v>
      </c>
      <c r="L87">
        <v>58439</v>
      </c>
      <c r="M87">
        <v>454</v>
      </c>
      <c r="N87">
        <v>58893</v>
      </c>
      <c r="O87" t="s">
        <v>353</v>
      </c>
      <c r="P87" t="s">
        <v>247</v>
      </c>
      <c r="Q87">
        <v>39720</v>
      </c>
      <c r="R87">
        <f>N87-Q87</f>
        <v>19173</v>
      </c>
      <c r="U87">
        <f t="shared" si="5"/>
        <v>32</v>
      </c>
      <c r="V87">
        <f t="shared" si="6"/>
        <v>32</v>
      </c>
      <c r="W87">
        <f t="shared" si="7"/>
        <v>100023</v>
      </c>
      <c r="X87">
        <f t="shared" si="8"/>
        <v>44523</v>
      </c>
      <c r="Y87">
        <f t="shared" si="9"/>
        <v>4508155</v>
      </c>
    </row>
    <row r="88" spans="1:25" x14ac:dyDescent="0.25">
      <c r="A88" s="5">
        <v>87</v>
      </c>
      <c r="B88" s="1" t="s">
        <v>181</v>
      </c>
      <c r="C88" s="1" t="s">
        <v>182</v>
      </c>
      <c r="D88" t="s">
        <v>260</v>
      </c>
      <c r="E88" t="s">
        <v>181</v>
      </c>
      <c r="F88" s="2" t="s">
        <v>243</v>
      </c>
      <c r="G88">
        <v>59</v>
      </c>
      <c r="H88" s="3" t="s">
        <v>246</v>
      </c>
      <c r="I88" t="s">
        <v>263</v>
      </c>
      <c r="J88">
        <v>165827</v>
      </c>
      <c r="K88" s="7">
        <v>135697</v>
      </c>
      <c r="L88">
        <v>65717</v>
      </c>
      <c r="M88">
        <v>596</v>
      </c>
      <c r="N88">
        <v>66313</v>
      </c>
      <c r="O88" t="s">
        <v>354</v>
      </c>
      <c r="P88" t="s">
        <v>248</v>
      </c>
      <c r="Q88">
        <v>54917</v>
      </c>
      <c r="R88">
        <f>N88-Q88</f>
        <v>11396</v>
      </c>
      <c r="U88">
        <f t="shared" si="5"/>
        <v>31</v>
      </c>
      <c r="V88">
        <f t="shared" si="6"/>
        <v>31</v>
      </c>
      <c r="W88">
        <f t="shared" si="7"/>
        <v>100023</v>
      </c>
      <c r="X88">
        <f t="shared" si="8"/>
        <v>44523</v>
      </c>
      <c r="Y88">
        <f t="shared" si="9"/>
        <v>4364191</v>
      </c>
    </row>
    <row r="89" spans="1:25" x14ac:dyDescent="0.25">
      <c r="A89" s="5">
        <v>88</v>
      </c>
      <c r="B89" s="1" t="s">
        <v>183</v>
      </c>
      <c r="C89" s="1" t="s">
        <v>184</v>
      </c>
      <c r="D89" t="s">
        <v>260</v>
      </c>
      <c r="E89" t="s">
        <v>181</v>
      </c>
      <c r="F89" s="2" t="s">
        <v>243</v>
      </c>
      <c r="G89">
        <v>44</v>
      </c>
      <c r="H89" s="3" t="s">
        <v>245</v>
      </c>
      <c r="I89" t="s">
        <v>263</v>
      </c>
      <c r="J89">
        <v>167771</v>
      </c>
      <c r="K89" s="7">
        <v>143765</v>
      </c>
      <c r="L89">
        <v>50433</v>
      </c>
      <c r="M89">
        <v>565</v>
      </c>
      <c r="N89">
        <v>50998</v>
      </c>
      <c r="O89" t="s">
        <v>355</v>
      </c>
      <c r="P89" t="s">
        <v>248</v>
      </c>
      <c r="Q89">
        <v>49649</v>
      </c>
      <c r="R89">
        <f>N89-Q89</f>
        <v>1349</v>
      </c>
      <c r="U89">
        <f t="shared" si="5"/>
        <v>30</v>
      </c>
      <c r="V89">
        <f t="shared" si="6"/>
        <v>30</v>
      </c>
      <c r="W89">
        <f t="shared" si="7"/>
        <v>100023</v>
      </c>
      <c r="X89">
        <f t="shared" si="8"/>
        <v>44523</v>
      </c>
      <c r="Y89">
        <f t="shared" si="9"/>
        <v>4228494</v>
      </c>
    </row>
    <row r="90" spans="1:25" x14ac:dyDescent="0.25">
      <c r="A90" s="5">
        <v>89</v>
      </c>
      <c r="B90" s="1" t="s">
        <v>185</v>
      </c>
      <c r="C90" s="1" t="s">
        <v>186</v>
      </c>
      <c r="D90" t="s">
        <v>260</v>
      </c>
      <c r="E90" t="s">
        <v>181</v>
      </c>
      <c r="F90" s="2" t="s">
        <v>243</v>
      </c>
      <c r="G90">
        <v>55</v>
      </c>
      <c r="H90" s="3" t="s">
        <v>246</v>
      </c>
      <c r="I90" t="s">
        <v>263</v>
      </c>
      <c r="J90">
        <v>189276</v>
      </c>
      <c r="K90" s="7">
        <v>149390</v>
      </c>
      <c r="L90">
        <v>75173</v>
      </c>
      <c r="M90">
        <v>1148</v>
      </c>
      <c r="N90">
        <v>76321</v>
      </c>
      <c r="O90" t="s">
        <v>357</v>
      </c>
      <c r="P90" t="s">
        <v>248</v>
      </c>
      <c r="Q90">
        <v>42127</v>
      </c>
      <c r="R90">
        <f>N90-Q90</f>
        <v>34194</v>
      </c>
      <c r="U90">
        <f t="shared" si="5"/>
        <v>29</v>
      </c>
      <c r="V90">
        <f t="shared" si="6"/>
        <v>29</v>
      </c>
      <c r="W90">
        <f t="shared" si="7"/>
        <v>100023</v>
      </c>
      <c r="X90">
        <f t="shared" si="8"/>
        <v>44523</v>
      </c>
      <c r="Y90">
        <f t="shared" si="9"/>
        <v>4084729</v>
      </c>
    </row>
    <row r="91" spans="1:25" x14ac:dyDescent="0.25">
      <c r="A91" s="5">
        <v>90</v>
      </c>
      <c r="B91" s="1" t="s">
        <v>187</v>
      </c>
      <c r="C91" s="1" t="s">
        <v>188</v>
      </c>
      <c r="D91" t="s">
        <v>260</v>
      </c>
      <c r="E91" t="s">
        <v>258</v>
      </c>
      <c r="F91" s="2" t="s">
        <v>243</v>
      </c>
      <c r="G91">
        <v>50</v>
      </c>
      <c r="H91" s="3" t="s">
        <v>246</v>
      </c>
      <c r="I91" t="s">
        <v>263</v>
      </c>
      <c r="J91">
        <v>170539</v>
      </c>
      <c r="K91" s="7">
        <v>129883</v>
      </c>
      <c r="L91">
        <v>52689</v>
      </c>
      <c r="M91">
        <v>795</v>
      </c>
      <c r="N91">
        <v>53484</v>
      </c>
      <c r="O91" t="s">
        <v>358</v>
      </c>
      <c r="P91" t="s">
        <v>248</v>
      </c>
      <c r="Q91">
        <v>36687</v>
      </c>
      <c r="R91">
        <f>N91-Q91</f>
        <v>16797</v>
      </c>
      <c r="U91">
        <f t="shared" si="5"/>
        <v>28</v>
      </c>
      <c r="V91">
        <f t="shared" si="6"/>
        <v>28</v>
      </c>
      <c r="W91">
        <f t="shared" si="7"/>
        <v>100023</v>
      </c>
      <c r="X91">
        <f t="shared" si="8"/>
        <v>44523</v>
      </c>
      <c r="Y91">
        <f t="shared" si="9"/>
        <v>3935339</v>
      </c>
    </row>
    <row r="92" spans="1:25" x14ac:dyDescent="0.25">
      <c r="A92" s="5">
        <v>91</v>
      </c>
      <c r="B92" s="1" t="s">
        <v>189</v>
      </c>
      <c r="C92" s="1" t="s">
        <v>190</v>
      </c>
      <c r="D92" t="s">
        <v>260</v>
      </c>
      <c r="E92" t="s">
        <v>258</v>
      </c>
      <c r="F92" s="2" t="s">
        <v>243</v>
      </c>
      <c r="G92">
        <v>46</v>
      </c>
      <c r="H92" s="3" t="s">
        <v>246</v>
      </c>
      <c r="I92" t="s">
        <v>263</v>
      </c>
      <c r="J92">
        <v>160223</v>
      </c>
      <c r="K92" s="7">
        <v>123267</v>
      </c>
      <c r="L92">
        <v>53526</v>
      </c>
      <c r="M92">
        <v>483</v>
      </c>
      <c r="N92">
        <v>54009</v>
      </c>
      <c r="O92" t="s">
        <v>359</v>
      </c>
      <c r="P92" t="s">
        <v>245</v>
      </c>
      <c r="Q92">
        <v>32879</v>
      </c>
      <c r="R92">
        <f>N92-Q92</f>
        <v>21130</v>
      </c>
      <c r="U92">
        <f t="shared" si="5"/>
        <v>27</v>
      </c>
      <c r="V92">
        <f t="shared" si="6"/>
        <v>27</v>
      </c>
      <c r="W92">
        <f t="shared" si="7"/>
        <v>100023</v>
      </c>
      <c r="X92">
        <f t="shared" si="8"/>
        <v>44523</v>
      </c>
      <c r="Y92">
        <f t="shared" si="9"/>
        <v>3805456</v>
      </c>
    </row>
    <row r="93" spans="1:25" x14ac:dyDescent="0.25">
      <c r="A93" s="5">
        <v>92</v>
      </c>
      <c r="B93" s="1" t="s">
        <v>191</v>
      </c>
      <c r="C93" s="1" t="s">
        <v>192</v>
      </c>
      <c r="D93" t="s">
        <v>260</v>
      </c>
      <c r="E93" t="s">
        <v>258</v>
      </c>
      <c r="F93" s="2" t="s">
        <v>243</v>
      </c>
      <c r="G93">
        <v>30</v>
      </c>
      <c r="H93" s="3" t="s">
        <v>246</v>
      </c>
      <c r="I93" t="s">
        <v>264</v>
      </c>
      <c r="J93">
        <v>151797</v>
      </c>
      <c r="K93" s="7">
        <v>116318</v>
      </c>
      <c r="L93">
        <v>59790</v>
      </c>
      <c r="M93">
        <v>452</v>
      </c>
      <c r="N93">
        <v>60242</v>
      </c>
      <c r="O93" t="s">
        <v>360</v>
      </c>
      <c r="P93" t="s">
        <v>248</v>
      </c>
      <c r="Q93">
        <v>27453</v>
      </c>
      <c r="R93">
        <f>N93-Q93</f>
        <v>32789</v>
      </c>
      <c r="U93">
        <f t="shared" si="5"/>
        <v>26</v>
      </c>
      <c r="V93">
        <f t="shared" si="6"/>
        <v>26</v>
      </c>
      <c r="W93">
        <f t="shared" si="7"/>
        <v>100023</v>
      </c>
      <c r="X93">
        <f t="shared" si="8"/>
        <v>44523</v>
      </c>
      <c r="Y93">
        <f t="shared" si="9"/>
        <v>3682189</v>
      </c>
    </row>
    <row r="94" spans="1:25" x14ac:dyDescent="0.25">
      <c r="A94" s="5">
        <v>93</v>
      </c>
      <c r="B94" s="1" t="s">
        <v>193</v>
      </c>
      <c r="C94" s="1" t="s">
        <v>194</v>
      </c>
      <c r="D94" t="s">
        <v>260</v>
      </c>
      <c r="E94" t="s">
        <v>258</v>
      </c>
      <c r="F94" s="2" t="s">
        <v>243</v>
      </c>
      <c r="G94">
        <v>50</v>
      </c>
      <c r="H94" s="3" t="s">
        <v>246</v>
      </c>
      <c r="I94" t="s">
        <v>263</v>
      </c>
      <c r="J94">
        <v>170676</v>
      </c>
      <c r="K94" s="7">
        <v>136089</v>
      </c>
      <c r="L94">
        <v>55715</v>
      </c>
      <c r="M94">
        <v>440</v>
      </c>
      <c r="N94">
        <v>56155</v>
      </c>
      <c r="O94" t="s">
        <v>361</v>
      </c>
      <c r="P94" t="s">
        <v>248</v>
      </c>
      <c r="Q94">
        <v>45745</v>
      </c>
      <c r="R94">
        <f>N94-Q94</f>
        <v>10410</v>
      </c>
      <c r="U94">
        <f t="shared" si="5"/>
        <v>25</v>
      </c>
      <c r="V94">
        <f t="shared" si="6"/>
        <v>25</v>
      </c>
      <c r="W94">
        <f t="shared" si="7"/>
        <v>100023</v>
      </c>
      <c r="X94">
        <f t="shared" si="8"/>
        <v>44523</v>
      </c>
      <c r="Y94">
        <f t="shared" si="9"/>
        <v>3565871</v>
      </c>
    </row>
    <row r="95" spans="1:25" x14ac:dyDescent="0.25">
      <c r="A95" s="5">
        <v>94</v>
      </c>
      <c r="B95" s="1" t="s">
        <v>195</v>
      </c>
      <c r="C95" s="1" t="s">
        <v>196</v>
      </c>
      <c r="D95" t="s">
        <v>260</v>
      </c>
      <c r="E95" t="s">
        <v>258</v>
      </c>
      <c r="F95" s="2" t="s">
        <v>243</v>
      </c>
      <c r="G95">
        <v>64</v>
      </c>
      <c r="H95" s="3" t="s">
        <v>246</v>
      </c>
      <c r="I95" t="s">
        <v>264</v>
      </c>
      <c r="J95">
        <v>185659</v>
      </c>
      <c r="K95" s="7">
        <v>149724</v>
      </c>
      <c r="L95">
        <v>85030</v>
      </c>
      <c r="M95">
        <v>748</v>
      </c>
      <c r="N95">
        <v>85778</v>
      </c>
      <c r="O95" t="s">
        <v>362</v>
      </c>
      <c r="P95" t="s">
        <v>248</v>
      </c>
      <c r="Q95">
        <v>35566</v>
      </c>
      <c r="R95">
        <f>N95-Q95</f>
        <v>50212</v>
      </c>
      <c r="U95">
        <f t="shared" si="5"/>
        <v>24</v>
      </c>
      <c r="V95">
        <f t="shared" si="6"/>
        <v>24</v>
      </c>
      <c r="W95">
        <f t="shared" si="7"/>
        <v>100023</v>
      </c>
      <c r="X95">
        <f t="shared" si="8"/>
        <v>44523</v>
      </c>
      <c r="Y95">
        <f t="shared" si="9"/>
        <v>3429782</v>
      </c>
    </row>
    <row r="96" spans="1:25" x14ac:dyDescent="0.25">
      <c r="A96" s="5">
        <v>95</v>
      </c>
      <c r="B96" s="1" t="s">
        <v>197</v>
      </c>
      <c r="C96" s="1" t="s">
        <v>198</v>
      </c>
      <c r="D96" t="s">
        <v>260</v>
      </c>
      <c r="E96" t="s">
        <v>258</v>
      </c>
      <c r="F96" s="2" t="s">
        <v>243</v>
      </c>
      <c r="G96">
        <v>69</v>
      </c>
      <c r="H96" s="3" t="s">
        <v>246</v>
      </c>
      <c r="I96" t="s">
        <v>263</v>
      </c>
      <c r="J96">
        <v>229872</v>
      </c>
      <c r="K96" s="7">
        <v>162698</v>
      </c>
      <c r="L96">
        <v>91509</v>
      </c>
      <c r="M96">
        <v>1548</v>
      </c>
      <c r="N96">
        <v>93057</v>
      </c>
      <c r="O96" t="s">
        <v>363</v>
      </c>
      <c r="P96" t="s">
        <v>245</v>
      </c>
      <c r="Q96">
        <v>29476</v>
      </c>
      <c r="R96">
        <f>N96-Q96</f>
        <v>63581</v>
      </c>
      <c r="U96">
        <f t="shared" si="5"/>
        <v>23</v>
      </c>
      <c r="V96">
        <f t="shared" si="6"/>
        <v>23</v>
      </c>
      <c r="W96">
        <f t="shared" si="7"/>
        <v>100023</v>
      </c>
      <c r="X96">
        <f t="shared" si="8"/>
        <v>44523</v>
      </c>
      <c r="Y96">
        <f t="shared" si="9"/>
        <v>3280058</v>
      </c>
    </row>
    <row r="97" spans="1:25" x14ac:dyDescent="0.25">
      <c r="A97" s="5">
        <v>96</v>
      </c>
      <c r="B97" s="1" t="s">
        <v>199</v>
      </c>
      <c r="C97" s="1" t="s">
        <v>200</v>
      </c>
      <c r="D97" t="s">
        <v>260</v>
      </c>
      <c r="E97" t="s">
        <v>199</v>
      </c>
      <c r="F97" s="2" t="s">
        <v>243</v>
      </c>
      <c r="G97">
        <v>42</v>
      </c>
      <c r="H97" s="3" t="s">
        <v>246</v>
      </c>
      <c r="I97" t="s">
        <v>264</v>
      </c>
      <c r="J97">
        <v>158867</v>
      </c>
      <c r="K97" s="7">
        <v>124402</v>
      </c>
      <c r="L97">
        <v>65625</v>
      </c>
      <c r="M97">
        <v>471</v>
      </c>
      <c r="N97">
        <v>66096</v>
      </c>
      <c r="O97" t="s">
        <v>364</v>
      </c>
      <c r="P97" t="s">
        <v>248</v>
      </c>
      <c r="Q97">
        <v>30617</v>
      </c>
      <c r="R97">
        <f>N97-Q97</f>
        <v>35479</v>
      </c>
      <c r="U97">
        <f t="shared" si="5"/>
        <v>22</v>
      </c>
      <c r="V97">
        <f t="shared" si="6"/>
        <v>22</v>
      </c>
      <c r="W97">
        <f t="shared" si="7"/>
        <v>100023</v>
      </c>
      <c r="X97">
        <f t="shared" si="8"/>
        <v>44523</v>
      </c>
      <c r="Y97">
        <f t="shared" si="9"/>
        <v>3117360</v>
      </c>
    </row>
    <row r="98" spans="1:25" x14ac:dyDescent="0.25">
      <c r="A98" s="5">
        <v>97</v>
      </c>
      <c r="B98" s="1" t="s">
        <v>201</v>
      </c>
      <c r="C98" s="1" t="s">
        <v>202</v>
      </c>
      <c r="D98" t="s">
        <v>260</v>
      </c>
      <c r="E98" t="s">
        <v>199</v>
      </c>
      <c r="F98" s="2" t="s">
        <v>243</v>
      </c>
      <c r="G98">
        <v>34</v>
      </c>
      <c r="H98" s="3" t="s">
        <v>246</v>
      </c>
      <c r="I98" t="s">
        <v>263</v>
      </c>
      <c r="J98">
        <v>168914</v>
      </c>
      <c r="K98" s="7">
        <v>136081</v>
      </c>
      <c r="L98">
        <v>62547</v>
      </c>
      <c r="M98">
        <v>552</v>
      </c>
      <c r="N98">
        <v>63099</v>
      </c>
      <c r="O98" t="s">
        <v>366</v>
      </c>
      <c r="P98" t="s">
        <v>249</v>
      </c>
      <c r="Q98">
        <v>28091</v>
      </c>
      <c r="R98">
        <f>N98-Q98</f>
        <v>35008</v>
      </c>
      <c r="U98">
        <f t="shared" si="5"/>
        <v>21</v>
      </c>
      <c r="V98">
        <f t="shared" si="6"/>
        <v>21</v>
      </c>
      <c r="W98">
        <f t="shared" si="7"/>
        <v>100023</v>
      </c>
      <c r="X98">
        <f t="shared" si="8"/>
        <v>44523</v>
      </c>
      <c r="Y98">
        <f t="shared" si="9"/>
        <v>2992958</v>
      </c>
    </row>
    <row r="99" spans="1:25" x14ac:dyDescent="0.25">
      <c r="A99" s="5">
        <v>98</v>
      </c>
      <c r="B99" s="1" t="s">
        <v>203</v>
      </c>
      <c r="C99" s="1" t="s">
        <v>204</v>
      </c>
      <c r="D99" t="s">
        <v>260</v>
      </c>
      <c r="E99" t="s">
        <v>199</v>
      </c>
      <c r="F99" s="2" t="s">
        <v>243</v>
      </c>
      <c r="G99">
        <v>52</v>
      </c>
      <c r="H99" s="3" t="s">
        <v>246</v>
      </c>
      <c r="I99" t="s">
        <v>263</v>
      </c>
      <c r="J99">
        <v>219264</v>
      </c>
      <c r="K99" s="7">
        <v>173756</v>
      </c>
      <c r="L99">
        <v>99200</v>
      </c>
      <c r="M99">
        <v>823</v>
      </c>
      <c r="N99">
        <v>100023</v>
      </c>
      <c r="O99" t="s">
        <v>367</v>
      </c>
      <c r="P99" t="s">
        <v>245</v>
      </c>
      <c r="Q99">
        <v>36700</v>
      </c>
      <c r="R99">
        <f>N99-Q99</f>
        <v>63323</v>
      </c>
      <c r="U99">
        <f t="shared" si="5"/>
        <v>20</v>
      </c>
      <c r="V99">
        <f t="shared" si="6"/>
        <v>20</v>
      </c>
      <c r="W99">
        <f t="shared" si="7"/>
        <v>100023</v>
      </c>
      <c r="X99">
        <f t="shared" si="8"/>
        <v>44523</v>
      </c>
      <c r="Y99">
        <f t="shared" si="9"/>
        <v>2856877</v>
      </c>
    </row>
    <row r="100" spans="1:25" x14ac:dyDescent="0.25">
      <c r="A100" s="5">
        <v>99</v>
      </c>
      <c r="B100" s="1" t="s">
        <v>205</v>
      </c>
      <c r="C100" s="1" t="s">
        <v>206</v>
      </c>
      <c r="D100" t="s">
        <v>260</v>
      </c>
      <c r="E100" t="s">
        <v>223</v>
      </c>
      <c r="F100" s="2" t="s">
        <v>243</v>
      </c>
      <c r="G100">
        <v>43</v>
      </c>
      <c r="H100" s="3" t="s">
        <v>246</v>
      </c>
      <c r="I100" t="s">
        <v>263</v>
      </c>
      <c r="J100">
        <v>182806</v>
      </c>
      <c r="K100" s="7">
        <v>152822</v>
      </c>
      <c r="L100">
        <v>75338</v>
      </c>
      <c r="M100">
        <v>479</v>
      </c>
      <c r="N100">
        <v>75817</v>
      </c>
      <c r="O100" t="s">
        <v>368</v>
      </c>
      <c r="P100" t="s">
        <v>245</v>
      </c>
      <c r="Q100">
        <v>34446</v>
      </c>
      <c r="R100">
        <f>N100-Q100</f>
        <v>41371</v>
      </c>
      <c r="U100">
        <f t="shared" si="5"/>
        <v>19</v>
      </c>
      <c r="V100">
        <f t="shared" si="6"/>
        <v>19</v>
      </c>
      <c r="W100">
        <f t="shared" si="7"/>
        <v>94794</v>
      </c>
      <c r="X100">
        <f t="shared" si="8"/>
        <v>44523</v>
      </c>
      <c r="Y100">
        <f t="shared" si="9"/>
        <v>2683121</v>
      </c>
    </row>
    <row r="101" spans="1:25" x14ac:dyDescent="0.25">
      <c r="A101" s="5">
        <v>100</v>
      </c>
      <c r="B101" s="1" t="s">
        <v>207</v>
      </c>
      <c r="C101" s="1" t="s">
        <v>208</v>
      </c>
      <c r="D101" t="s">
        <v>260</v>
      </c>
      <c r="E101" t="s">
        <v>223</v>
      </c>
      <c r="F101" s="2" t="s">
        <v>243</v>
      </c>
      <c r="G101">
        <v>65</v>
      </c>
      <c r="H101" s="3" t="s">
        <v>246</v>
      </c>
      <c r="I101" t="s">
        <v>264</v>
      </c>
      <c r="J101">
        <v>196478</v>
      </c>
      <c r="K101" s="7">
        <v>160410</v>
      </c>
      <c r="L101">
        <v>87467</v>
      </c>
      <c r="M101">
        <v>815</v>
      </c>
      <c r="N101">
        <v>88282</v>
      </c>
      <c r="O101" t="s">
        <v>369</v>
      </c>
      <c r="P101" t="s">
        <v>248</v>
      </c>
      <c r="Q101">
        <v>36591</v>
      </c>
      <c r="R101">
        <f>N101-Q101</f>
        <v>51691</v>
      </c>
      <c r="U101">
        <f t="shared" si="5"/>
        <v>18</v>
      </c>
      <c r="V101">
        <f t="shared" si="6"/>
        <v>18</v>
      </c>
      <c r="W101">
        <f t="shared" si="7"/>
        <v>94794</v>
      </c>
      <c r="X101">
        <f t="shared" si="8"/>
        <v>44523</v>
      </c>
      <c r="Y101">
        <f t="shared" si="9"/>
        <v>2530299</v>
      </c>
    </row>
    <row r="102" spans="1:25" x14ac:dyDescent="0.25">
      <c r="A102" s="5">
        <v>101</v>
      </c>
      <c r="B102" s="1" t="s">
        <v>209</v>
      </c>
      <c r="C102" s="1" t="s">
        <v>210</v>
      </c>
      <c r="D102" t="s">
        <v>260</v>
      </c>
      <c r="E102" t="s">
        <v>223</v>
      </c>
      <c r="F102" s="2" t="s">
        <v>243</v>
      </c>
      <c r="G102">
        <v>63</v>
      </c>
      <c r="H102" s="3" t="s">
        <v>246</v>
      </c>
      <c r="I102" t="s">
        <v>263</v>
      </c>
      <c r="J102">
        <v>173020</v>
      </c>
      <c r="K102" s="7">
        <v>137776</v>
      </c>
      <c r="L102">
        <v>59618</v>
      </c>
      <c r="M102">
        <v>440</v>
      </c>
      <c r="N102">
        <v>60058</v>
      </c>
      <c r="O102" t="s">
        <v>370</v>
      </c>
      <c r="P102" t="s">
        <v>388</v>
      </c>
      <c r="Q102">
        <v>33540</v>
      </c>
      <c r="R102">
        <f>N102-Q102</f>
        <v>26518</v>
      </c>
      <c r="U102">
        <f t="shared" si="5"/>
        <v>17</v>
      </c>
      <c r="V102">
        <f t="shared" si="6"/>
        <v>17</v>
      </c>
      <c r="W102">
        <f t="shared" si="7"/>
        <v>94794</v>
      </c>
      <c r="X102">
        <f t="shared" si="8"/>
        <v>44523</v>
      </c>
      <c r="Y102">
        <f t="shared" si="9"/>
        <v>2369889</v>
      </c>
    </row>
    <row r="103" spans="1:25" x14ac:dyDescent="0.25">
      <c r="A103" s="5">
        <v>102</v>
      </c>
      <c r="B103" s="1" t="s">
        <v>211</v>
      </c>
      <c r="C103" s="1" t="s">
        <v>212</v>
      </c>
      <c r="D103" t="s">
        <v>260</v>
      </c>
      <c r="E103" t="s">
        <v>213</v>
      </c>
      <c r="F103" s="2" t="s">
        <v>243</v>
      </c>
      <c r="G103">
        <v>47</v>
      </c>
      <c r="H103" s="3" t="s">
        <v>246</v>
      </c>
      <c r="I103" t="s">
        <v>264</v>
      </c>
      <c r="J103">
        <v>183789</v>
      </c>
      <c r="K103" s="7">
        <v>145257</v>
      </c>
      <c r="L103">
        <v>82228</v>
      </c>
      <c r="M103">
        <v>402</v>
      </c>
      <c r="N103">
        <v>82630</v>
      </c>
      <c r="O103" t="s">
        <v>371</v>
      </c>
      <c r="P103" t="s">
        <v>248</v>
      </c>
      <c r="Q103">
        <v>31975</v>
      </c>
      <c r="R103">
        <f>N103-Q103</f>
        <v>50655</v>
      </c>
      <c r="U103">
        <f t="shared" si="5"/>
        <v>16</v>
      </c>
      <c r="V103">
        <f t="shared" si="6"/>
        <v>16</v>
      </c>
      <c r="W103">
        <f t="shared" si="7"/>
        <v>94794</v>
      </c>
      <c r="X103">
        <f t="shared" si="8"/>
        <v>44523</v>
      </c>
      <c r="Y103">
        <f t="shared" si="9"/>
        <v>2232113</v>
      </c>
    </row>
    <row r="104" spans="1:25" x14ac:dyDescent="0.25">
      <c r="A104" s="5">
        <v>103</v>
      </c>
      <c r="B104" s="1" t="s">
        <v>213</v>
      </c>
      <c r="C104" s="1" t="s">
        <v>214</v>
      </c>
      <c r="D104" t="s">
        <v>260</v>
      </c>
      <c r="E104" t="s">
        <v>213</v>
      </c>
      <c r="F104" s="2" t="s">
        <v>243</v>
      </c>
      <c r="G104">
        <v>47</v>
      </c>
      <c r="H104" s="3" t="s">
        <v>246</v>
      </c>
      <c r="I104" t="s">
        <v>263</v>
      </c>
      <c r="J104">
        <v>196952</v>
      </c>
      <c r="K104" s="7">
        <v>154684</v>
      </c>
      <c r="L104">
        <v>94274</v>
      </c>
      <c r="M104">
        <v>520</v>
      </c>
      <c r="N104">
        <v>94794</v>
      </c>
      <c r="O104" t="s">
        <v>372</v>
      </c>
      <c r="P104" t="s">
        <v>245</v>
      </c>
      <c r="Q104">
        <v>19517</v>
      </c>
      <c r="R104">
        <f>N104-Q104</f>
        <v>75277</v>
      </c>
      <c r="U104">
        <f t="shared" si="5"/>
        <v>15</v>
      </c>
      <c r="V104">
        <f t="shared" si="6"/>
        <v>15</v>
      </c>
      <c r="W104">
        <f t="shared" si="7"/>
        <v>94794</v>
      </c>
      <c r="X104">
        <f t="shared" si="8"/>
        <v>44523</v>
      </c>
      <c r="Y104">
        <f t="shared" si="9"/>
        <v>2086856</v>
      </c>
    </row>
    <row r="105" spans="1:25" x14ac:dyDescent="0.25">
      <c r="A105" s="5">
        <v>104</v>
      </c>
      <c r="B105" s="1" t="s">
        <v>215</v>
      </c>
      <c r="C105" s="1" t="s">
        <v>216</v>
      </c>
      <c r="D105" t="s">
        <v>260</v>
      </c>
      <c r="E105" t="s">
        <v>213</v>
      </c>
      <c r="F105" s="2" t="s">
        <v>243</v>
      </c>
      <c r="G105">
        <v>35</v>
      </c>
      <c r="H105" s="3" t="s">
        <v>246</v>
      </c>
      <c r="I105" t="s">
        <v>264</v>
      </c>
      <c r="J105">
        <v>158573</v>
      </c>
      <c r="K105" s="7">
        <v>125247</v>
      </c>
      <c r="L105">
        <v>63514</v>
      </c>
      <c r="M105">
        <v>453</v>
      </c>
      <c r="N105">
        <v>63967</v>
      </c>
      <c r="O105" t="s">
        <v>322</v>
      </c>
      <c r="P105" t="s">
        <v>245</v>
      </c>
      <c r="Q105">
        <v>26409</v>
      </c>
      <c r="R105">
        <f>N105-Q105</f>
        <v>37558</v>
      </c>
      <c r="U105">
        <f t="shared" si="5"/>
        <v>14</v>
      </c>
      <c r="V105">
        <f t="shared" si="6"/>
        <v>14</v>
      </c>
      <c r="W105">
        <f t="shared" si="7"/>
        <v>83893</v>
      </c>
      <c r="X105">
        <f t="shared" si="8"/>
        <v>44523</v>
      </c>
      <c r="Y105">
        <f t="shared" si="9"/>
        <v>1932172</v>
      </c>
    </row>
    <row r="106" spans="1:25" x14ac:dyDescent="0.25">
      <c r="A106" s="5">
        <v>105</v>
      </c>
      <c r="B106" s="1" t="s">
        <v>217</v>
      </c>
      <c r="C106" s="1" t="s">
        <v>218</v>
      </c>
      <c r="D106" t="s">
        <v>260</v>
      </c>
      <c r="E106" t="s">
        <v>217</v>
      </c>
      <c r="F106" s="2" t="s">
        <v>243</v>
      </c>
      <c r="G106">
        <v>32</v>
      </c>
      <c r="H106" s="3" t="s">
        <v>246</v>
      </c>
      <c r="I106" t="s">
        <v>263</v>
      </c>
      <c r="J106">
        <v>183174</v>
      </c>
      <c r="K106" s="7">
        <v>131532</v>
      </c>
      <c r="L106">
        <v>64091</v>
      </c>
      <c r="M106">
        <v>709</v>
      </c>
      <c r="N106">
        <v>64800</v>
      </c>
      <c r="O106" t="s">
        <v>373</v>
      </c>
      <c r="P106" t="s">
        <v>248</v>
      </c>
      <c r="Q106">
        <v>27178</v>
      </c>
      <c r="R106">
        <f>N106-Q106</f>
        <v>37622</v>
      </c>
      <c r="U106">
        <f t="shared" si="5"/>
        <v>13</v>
      </c>
      <c r="V106">
        <f t="shared" si="6"/>
        <v>13</v>
      </c>
      <c r="W106">
        <f t="shared" si="7"/>
        <v>83893</v>
      </c>
      <c r="X106">
        <f t="shared" si="8"/>
        <v>44523</v>
      </c>
      <c r="Y106">
        <f t="shared" si="9"/>
        <v>1806925</v>
      </c>
    </row>
    <row r="107" spans="1:25" x14ac:dyDescent="0.25">
      <c r="A107" s="5">
        <v>106</v>
      </c>
      <c r="B107" s="1" t="s">
        <v>219</v>
      </c>
      <c r="C107" s="1" t="s">
        <v>220</v>
      </c>
      <c r="D107" t="s">
        <v>260</v>
      </c>
      <c r="E107" t="s">
        <v>217</v>
      </c>
      <c r="F107" s="2" t="s">
        <v>243</v>
      </c>
      <c r="G107">
        <v>49</v>
      </c>
      <c r="H107" s="3" t="s">
        <v>246</v>
      </c>
      <c r="I107" t="s">
        <v>264</v>
      </c>
      <c r="J107">
        <v>161387</v>
      </c>
      <c r="K107" s="7">
        <v>115462</v>
      </c>
      <c r="L107">
        <v>53266</v>
      </c>
      <c r="M107">
        <v>448</v>
      </c>
      <c r="N107">
        <v>53714</v>
      </c>
      <c r="O107" t="s">
        <v>374</v>
      </c>
      <c r="P107" t="s">
        <v>389</v>
      </c>
      <c r="Q107">
        <v>23367</v>
      </c>
      <c r="R107">
        <f>N107-Q107</f>
        <v>30347</v>
      </c>
      <c r="U107">
        <f t="shared" si="5"/>
        <v>12</v>
      </c>
      <c r="V107">
        <f t="shared" si="6"/>
        <v>12</v>
      </c>
      <c r="W107">
        <f t="shared" si="7"/>
        <v>83893</v>
      </c>
      <c r="X107">
        <f t="shared" si="8"/>
        <v>44523</v>
      </c>
      <c r="Y107">
        <f t="shared" si="9"/>
        <v>1675393</v>
      </c>
    </row>
    <row r="108" spans="1:25" x14ac:dyDescent="0.25">
      <c r="A108" s="5">
        <v>107</v>
      </c>
      <c r="B108" s="1" t="s">
        <v>221</v>
      </c>
      <c r="C108" s="1" t="s">
        <v>222</v>
      </c>
      <c r="D108" t="s">
        <v>260</v>
      </c>
      <c r="E108" t="s">
        <v>223</v>
      </c>
      <c r="F108" s="2" t="s">
        <v>243</v>
      </c>
      <c r="G108">
        <v>62</v>
      </c>
      <c r="H108" s="3" t="s">
        <v>246</v>
      </c>
      <c r="I108" t="s">
        <v>263</v>
      </c>
      <c r="J108">
        <v>160388</v>
      </c>
      <c r="K108" s="7">
        <v>126042</v>
      </c>
      <c r="L108">
        <v>65698</v>
      </c>
      <c r="M108">
        <v>250</v>
      </c>
      <c r="N108">
        <v>65948</v>
      </c>
      <c r="O108" t="s">
        <v>375</v>
      </c>
      <c r="P108" t="s">
        <v>245</v>
      </c>
      <c r="Q108">
        <v>44262</v>
      </c>
      <c r="R108">
        <f>N108-Q108</f>
        <v>21686</v>
      </c>
      <c r="U108">
        <f t="shared" si="5"/>
        <v>11</v>
      </c>
      <c r="V108">
        <f t="shared" si="6"/>
        <v>11</v>
      </c>
      <c r="W108">
        <f t="shared" si="7"/>
        <v>83893</v>
      </c>
      <c r="X108">
        <f t="shared" si="8"/>
        <v>44523</v>
      </c>
      <c r="Y108">
        <f t="shared" si="9"/>
        <v>1559931</v>
      </c>
    </row>
    <row r="109" spans="1:25" x14ac:dyDescent="0.25">
      <c r="A109" s="5">
        <v>108</v>
      </c>
      <c r="B109" s="1" t="s">
        <v>223</v>
      </c>
      <c r="C109" s="1" t="s">
        <v>224</v>
      </c>
      <c r="D109" t="s">
        <v>260</v>
      </c>
      <c r="E109" t="s">
        <v>223</v>
      </c>
      <c r="F109" s="2" t="s">
        <v>243</v>
      </c>
      <c r="G109">
        <v>59</v>
      </c>
      <c r="H109" s="3" t="s">
        <v>246</v>
      </c>
      <c r="I109" t="s">
        <v>263</v>
      </c>
      <c r="J109">
        <v>166610</v>
      </c>
      <c r="K109" s="7">
        <v>129868</v>
      </c>
      <c r="L109">
        <v>44294</v>
      </c>
      <c r="M109">
        <v>229</v>
      </c>
      <c r="N109">
        <v>44523</v>
      </c>
      <c r="O109" t="s">
        <v>376</v>
      </c>
      <c r="P109" t="s">
        <v>389</v>
      </c>
      <c r="Q109">
        <v>38480</v>
      </c>
      <c r="R109">
        <f>N109-Q109</f>
        <v>6043</v>
      </c>
      <c r="U109">
        <f t="shared" si="5"/>
        <v>10</v>
      </c>
      <c r="V109">
        <f t="shared" si="6"/>
        <v>10</v>
      </c>
      <c r="W109">
        <f t="shared" si="7"/>
        <v>83893</v>
      </c>
      <c r="X109">
        <f t="shared" si="8"/>
        <v>44523</v>
      </c>
      <c r="Y109">
        <f t="shared" si="9"/>
        <v>1433889</v>
      </c>
    </row>
    <row r="110" spans="1:25" x14ac:dyDescent="0.25">
      <c r="A110" s="5">
        <v>109</v>
      </c>
      <c r="B110" s="1" t="s">
        <v>225</v>
      </c>
      <c r="C110" s="1" t="s">
        <v>226</v>
      </c>
      <c r="D110" t="s">
        <v>260</v>
      </c>
      <c r="E110" t="s">
        <v>237</v>
      </c>
      <c r="F110" s="2" t="s">
        <v>243</v>
      </c>
      <c r="G110">
        <v>48</v>
      </c>
      <c r="H110" s="3" t="s">
        <v>246</v>
      </c>
      <c r="I110" t="s">
        <v>263</v>
      </c>
      <c r="J110">
        <v>166143</v>
      </c>
      <c r="K110" s="7">
        <v>128458</v>
      </c>
      <c r="L110">
        <v>82023</v>
      </c>
      <c r="M110">
        <v>569</v>
      </c>
      <c r="N110">
        <v>82592</v>
      </c>
      <c r="O110" t="s">
        <v>377</v>
      </c>
      <c r="P110" t="s">
        <v>245</v>
      </c>
      <c r="Q110">
        <v>24386</v>
      </c>
      <c r="R110">
        <f>N110-Q110</f>
        <v>58206</v>
      </c>
      <c r="U110">
        <f t="shared" si="5"/>
        <v>9</v>
      </c>
      <c r="V110">
        <f t="shared" si="6"/>
        <v>9</v>
      </c>
      <c r="W110">
        <f t="shared" si="7"/>
        <v>83893</v>
      </c>
      <c r="X110">
        <f t="shared" si="8"/>
        <v>48104</v>
      </c>
      <c r="Y110">
        <f t="shared" si="9"/>
        <v>1304021</v>
      </c>
    </row>
    <row r="111" spans="1:25" x14ac:dyDescent="0.25">
      <c r="A111" s="5">
        <v>110</v>
      </c>
      <c r="B111" s="1" t="s">
        <v>227</v>
      </c>
      <c r="C111" s="1" t="s">
        <v>228</v>
      </c>
      <c r="D111" t="s">
        <v>260</v>
      </c>
      <c r="E111" t="s">
        <v>237</v>
      </c>
      <c r="F111" s="2" t="s">
        <v>243</v>
      </c>
      <c r="G111">
        <v>52</v>
      </c>
      <c r="H111" s="3" t="s">
        <v>246</v>
      </c>
      <c r="I111" t="s">
        <v>264</v>
      </c>
      <c r="J111">
        <v>185315</v>
      </c>
      <c r="K111" s="7">
        <v>142819</v>
      </c>
      <c r="L111">
        <v>81710</v>
      </c>
      <c r="M111">
        <v>343</v>
      </c>
      <c r="N111">
        <v>82053</v>
      </c>
      <c r="O111" t="s">
        <v>379</v>
      </c>
      <c r="P111" t="s">
        <v>248</v>
      </c>
      <c r="Q111">
        <v>29453</v>
      </c>
      <c r="R111">
        <f>N111-Q111</f>
        <v>52600</v>
      </c>
      <c r="U111">
        <f t="shared" si="5"/>
        <v>8</v>
      </c>
      <c r="V111">
        <f t="shared" si="6"/>
        <v>8</v>
      </c>
      <c r="W111">
        <f t="shared" si="7"/>
        <v>83893</v>
      </c>
      <c r="X111">
        <f t="shared" si="8"/>
        <v>48104</v>
      </c>
      <c r="Y111">
        <f t="shared" si="9"/>
        <v>1175563</v>
      </c>
    </row>
    <row r="112" spans="1:25" x14ac:dyDescent="0.25">
      <c r="A112" s="5">
        <v>111</v>
      </c>
      <c r="B112" s="1" t="s">
        <v>229</v>
      </c>
      <c r="C112" s="1" t="s">
        <v>230</v>
      </c>
      <c r="D112" t="s">
        <v>260</v>
      </c>
      <c r="E112" t="s">
        <v>237</v>
      </c>
      <c r="F112" s="2" t="s">
        <v>243</v>
      </c>
      <c r="G112">
        <v>65</v>
      </c>
      <c r="H112" s="3" t="s">
        <v>246</v>
      </c>
      <c r="I112" t="s">
        <v>263</v>
      </c>
      <c r="J112">
        <v>226041</v>
      </c>
      <c r="K112" s="7">
        <v>148243</v>
      </c>
      <c r="L112">
        <v>76333</v>
      </c>
      <c r="M112">
        <v>822</v>
      </c>
      <c r="N112">
        <v>77155</v>
      </c>
      <c r="O112" t="s">
        <v>380</v>
      </c>
      <c r="P112" t="s">
        <v>245</v>
      </c>
      <c r="Q112">
        <v>23681</v>
      </c>
      <c r="R112">
        <f>N112-Q112</f>
        <v>53474</v>
      </c>
      <c r="U112">
        <f t="shared" si="5"/>
        <v>7</v>
      </c>
      <c r="V112">
        <f t="shared" si="6"/>
        <v>7</v>
      </c>
      <c r="W112">
        <f t="shared" si="7"/>
        <v>83893</v>
      </c>
      <c r="X112">
        <f t="shared" si="8"/>
        <v>48104</v>
      </c>
      <c r="Y112">
        <f t="shared" si="9"/>
        <v>1032744</v>
      </c>
    </row>
    <row r="113" spans="1:25" x14ac:dyDescent="0.25">
      <c r="A113" s="5">
        <v>112</v>
      </c>
      <c r="B113" s="1" t="s">
        <v>231</v>
      </c>
      <c r="C113" s="1" t="s">
        <v>232</v>
      </c>
      <c r="D113" t="s">
        <v>260</v>
      </c>
      <c r="E113" t="s">
        <v>113</v>
      </c>
      <c r="F113" s="2" t="s">
        <v>243</v>
      </c>
      <c r="G113">
        <v>60</v>
      </c>
      <c r="H113" s="3" t="s">
        <v>246</v>
      </c>
      <c r="I113" t="s">
        <v>263</v>
      </c>
      <c r="J113">
        <v>288440</v>
      </c>
      <c r="K113" s="7">
        <v>199529</v>
      </c>
      <c r="L113">
        <v>69870</v>
      </c>
      <c r="M113">
        <v>162</v>
      </c>
      <c r="N113">
        <v>70032</v>
      </c>
      <c r="O113" t="s">
        <v>382</v>
      </c>
      <c r="P113" t="s">
        <v>245</v>
      </c>
      <c r="Q113">
        <v>48311</v>
      </c>
      <c r="R113">
        <f>N113-Q113</f>
        <v>21721</v>
      </c>
      <c r="U113">
        <f t="shared" si="5"/>
        <v>6</v>
      </c>
      <c r="V113">
        <f t="shared" si="6"/>
        <v>6</v>
      </c>
      <c r="W113">
        <f t="shared" si="7"/>
        <v>83893</v>
      </c>
      <c r="X113">
        <f t="shared" si="8"/>
        <v>48104</v>
      </c>
      <c r="Y113">
        <f t="shared" si="9"/>
        <v>884501</v>
      </c>
    </row>
    <row r="114" spans="1:25" x14ac:dyDescent="0.25">
      <c r="A114" s="5">
        <v>113</v>
      </c>
      <c r="B114" s="1" t="s">
        <v>233</v>
      </c>
      <c r="C114" s="1" t="s">
        <v>234</v>
      </c>
      <c r="D114" t="s">
        <v>260</v>
      </c>
      <c r="E114" t="s">
        <v>237</v>
      </c>
      <c r="F114" s="2" t="s">
        <v>243</v>
      </c>
      <c r="G114">
        <v>43</v>
      </c>
      <c r="H114" s="3" t="s">
        <v>246</v>
      </c>
      <c r="I114" t="s">
        <v>263</v>
      </c>
      <c r="J114">
        <v>165161</v>
      </c>
      <c r="K114" s="7">
        <v>130423</v>
      </c>
      <c r="L114">
        <v>62562</v>
      </c>
      <c r="M114">
        <v>221</v>
      </c>
      <c r="N114">
        <v>62783</v>
      </c>
      <c r="O114" t="s">
        <v>383</v>
      </c>
      <c r="P114" t="s">
        <v>245</v>
      </c>
      <c r="Q114">
        <v>31018</v>
      </c>
      <c r="R114">
        <f>N114-Q114</f>
        <v>31765</v>
      </c>
      <c r="U114">
        <f t="shared" si="5"/>
        <v>5</v>
      </c>
      <c r="V114">
        <f t="shared" si="6"/>
        <v>5</v>
      </c>
      <c r="W114">
        <f t="shared" si="7"/>
        <v>83893</v>
      </c>
      <c r="X114">
        <f t="shared" si="8"/>
        <v>48104</v>
      </c>
      <c r="Y114">
        <f t="shared" si="9"/>
        <v>684972</v>
      </c>
    </row>
    <row r="115" spans="1:25" x14ac:dyDescent="0.25">
      <c r="A115" s="5">
        <v>114</v>
      </c>
      <c r="B115" s="1" t="s">
        <v>235</v>
      </c>
      <c r="C115" s="1" t="s">
        <v>236</v>
      </c>
      <c r="D115" t="s">
        <v>260</v>
      </c>
      <c r="E115" t="s">
        <v>237</v>
      </c>
      <c r="F115" s="2" t="s">
        <v>243</v>
      </c>
      <c r="G115">
        <v>46</v>
      </c>
      <c r="H115" s="3" t="s">
        <v>246</v>
      </c>
      <c r="I115" t="s">
        <v>263</v>
      </c>
      <c r="J115">
        <v>223614</v>
      </c>
      <c r="K115" s="7">
        <v>165007</v>
      </c>
      <c r="L115">
        <v>83634</v>
      </c>
      <c r="M115">
        <v>259</v>
      </c>
      <c r="N115">
        <v>83893</v>
      </c>
      <c r="O115" t="s">
        <v>384</v>
      </c>
      <c r="P115" t="s">
        <v>248</v>
      </c>
      <c r="Q115">
        <v>34771</v>
      </c>
      <c r="R115">
        <f>N115-Q115</f>
        <v>49122</v>
      </c>
      <c r="U115">
        <f t="shared" si="5"/>
        <v>4</v>
      </c>
      <c r="V115">
        <f t="shared" si="6"/>
        <v>4</v>
      </c>
      <c r="W115">
        <f t="shared" si="7"/>
        <v>83893</v>
      </c>
      <c r="X115">
        <f t="shared" si="8"/>
        <v>48104</v>
      </c>
      <c r="Y115">
        <f t="shared" si="9"/>
        <v>554549</v>
      </c>
    </row>
    <row r="116" spans="1:25" x14ac:dyDescent="0.25">
      <c r="A116" s="5">
        <v>115</v>
      </c>
      <c r="B116" s="1" t="s">
        <v>237</v>
      </c>
      <c r="C116" s="1" t="s">
        <v>238</v>
      </c>
      <c r="D116" t="s">
        <v>260</v>
      </c>
      <c r="E116" t="s">
        <v>237</v>
      </c>
      <c r="F116" s="2" t="s">
        <v>243</v>
      </c>
      <c r="G116">
        <v>43</v>
      </c>
      <c r="H116" s="3" t="s">
        <v>246</v>
      </c>
      <c r="I116" t="s">
        <v>263</v>
      </c>
      <c r="J116">
        <v>161609</v>
      </c>
      <c r="K116" s="7">
        <v>103468</v>
      </c>
      <c r="L116">
        <v>47704</v>
      </c>
      <c r="M116">
        <v>400</v>
      </c>
      <c r="N116">
        <v>48104</v>
      </c>
      <c r="O116" t="s">
        <v>385</v>
      </c>
      <c r="P116" t="s">
        <v>390</v>
      </c>
      <c r="Q116">
        <v>28231</v>
      </c>
      <c r="R116">
        <f>N116-Q116</f>
        <v>19873</v>
      </c>
      <c r="U116">
        <f t="shared" si="5"/>
        <v>3</v>
      </c>
      <c r="V116">
        <f t="shared" si="6"/>
        <v>3</v>
      </c>
      <c r="W116">
        <f t="shared" si="7"/>
        <v>81751</v>
      </c>
      <c r="X116">
        <f t="shared" si="8"/>
        <v>48104</v>
      </c>
      <c r="Y116">
        <f t="shared" si="9"/>
        <v>389542</v>
      </c>
    </row>
    <row r="117" spans="1:25" x14ac:dyDescent="0.25">
      <c r="A117" s="5">
        <v>116</v>
      </c>
      <c r="B117" s="1" t="s">
        <v>239</v>
      </c>
      <c r="C117" s="1" t="s">
        <v>240</v>
      </c>
      <c r="D117" t="s">
        <v>260</v>
      </c>
      <c r="E117" t="s">
        <v>237</v>
      </c>
      <c r="F117" s="2" t="s">
        <v>243</v>
      </c>
      <c r="G117">
        <v>55</v>
      </c>
      <c r="H117" s="3" t="s">
        <v>246</v>
      </c>
      <c r="I117" t="s">
        <v>263</v>
      </c>
      <c r="J117">
        <v>193141</v>
      </c>
      <c r="K117" s="7">
        <v>148335</v>
      </c>
      <c r="L117">
        <v>74066</v>
      </c>
      <c r="M117">
        <v>309</v>
      </c>
      <c r="N117">
        <v>74375</v>
      </c>
      <c r="O117" t="s">
        <v>386</v>
      </c>
      <c r="P117" t="s">
        <v>248</v>
      </c>
      <c r="Q117">
        <v>34662</v>
      </c>
      <c r="R117">
        <f>N117-Q117</f>
        <v>39713</v>
      </c>
      <c r="U117">
        <f t="shared" si="5"/>
        <v>2</v>
      </c>
      <c r="V117">
        <f t="shared" si="6"/>
        <v>2</v>
      </c>
      <c r="W117">
        <f t="shared" si="7"/>
        <v>81751</v>
      </c>
      <c r="X117">
        <f t="shared" si="8"/>
        <v>74375</v>
      </c>
      <c r="Y117">
        <f t="shared" si="9"/>
        <v>286074</v>
      </c>
    </row>
    <row r="118" spans="1:25" x14ac:dyDescent="0.25">
      <c r="A118" s="5">
        <v>117</v>
      </c>
      <c r="B118" s="1" t="s">
        <v>241</v>
      </c>
      <c r="C118" s="1" t="s">
        <v>242</v>
      </c>
      <c r="D118" t="s">
        <v>260</v>
      </c>
      <c r="E118" t="s">
        <v>237</v>
      </c>
      <c r="F118" s="2" t="s">
        <v>243</v>
      </c>
      <c r="G118">
        <v>48</v>
      </c>
      <c r="H118" s="3" t="s">
        <v>246</v>
      </c>
      <c r="I118" t="s">
        <v>264</v>
      </c>
      <c r="J118">
        <v>182335</v>
      </c>
      <c r="K118" s="7">
        <v>137739</v>
      </c>
      <c r="L118">
        <v>81426</v>
      </c>
      <c r="M118">
        <v>325</v>
      </c>
      <c r="N118">
        <v>81751</v>
      </c>
      <c r="O118" t="s">
        <v>387</v>
      </c>
      <c r="P118" t="s">
        <v>248</v>
      </c>
      <c r="Q118">
        <v>30197</v>
      </c>
      <c r="R118">
        <f>N118-Q118</f>
        <v>51554</v>
      </c>
      <c r="U118">
        <f t="shared" si="5"/>
        <v>1</v>
      </c>
      <c r="V118">
        <f t="shared" si="6"/>
        <v>1</v>
      </c>
      <c r="W118">
        <f t="shared" si="7"/>
        <v>81751</v>
      </c>
      <c r="X118">
        <f t="shared" si="8"/>
        <v>81751</v>
      </c>
      <c r="Y118">
        <f t="shared" si="9"/>
        <v>137739</v>
      </c>
    </row>
  </sheetData>
  <sortState ref="F2:R118">
    <sortCondition ref="F1"/>
  </sortState>
  <pageMargins left="0.7" right="0.7" top="0.75" bottom="0.75" header="0.3" footer="0.3"/>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party perfomance</vt:lpstr>
      <vt:lpstr>region-wise result</vt:lpstr>
      <vt:lpstr>Distric-wise anylises</vt:lpstr>
      <vt:lpstr>gender Analysis</vt:lpstr>
      <vt:lpstr>Margin Analysies</vt:lpstr>
      <vt:lpstr>Sheet11</vt: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cgc</cp:lastModifiedBy>
  <dcterms:created xsi:type="dcterms:W3CDTF">2022-09-19T06:49:03Z</dcterms:created>
  <dcterms:modified xsi:type="dcterms:W3CDTF">2026-06-16T10:00:36Z</dcterms:modified>
</cp:coreProperties>
</file>